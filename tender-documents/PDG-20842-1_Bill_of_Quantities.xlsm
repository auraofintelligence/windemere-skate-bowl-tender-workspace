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diC\Objective\edrms-prd-8008\JudiC\Objective\Objects\"/>
    </mc:Choice>
  </mc:AlternateContent>
  <xr:revisionPtr revIDLastSave="0" documentId="13_ncr:1_{B4297525-9B64-4FB0-B6E9-4B8CB02422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definedNames>
    <definedName name="Asset_Description">#REF!</definedName>
    <definedName name="CapitalvOperational">#REF!</definedName>
    <definedName name="ImportedData">Sheet1!$A$13:$K$53</definedName>
    <definedName name="ImportedTaskColumn">Sheet1!$B$13:$B$53</definedName>
    <definedName name="LastRow">Sheet1!$A$57</definedName>
    <definedName name="_xlnm.Print_Area" localSheetId="0">Sheet1!$A$1:$K$72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6" i="1" l="1"/>
  <c r="K13" i="1"/>
  <c r="K9" i="1"/>
  <c r="K10" i="1"/>
  <c r="K11" i="1"/>
  <c r="K8" i="1"/>
  <c r="I67" i="1"/>
  <c r="K48" i="1"/>
  <c r="K47" i="1"/>
  <c r="K56" i="1"/>
  <c r="K45" i="1"/>
  <c r="K43" i="1"/>
  <c r="K60" i="1"/>
  <c r="K61" i="1"/>
  <c r="K62" i="1"/>
  <c r="K59" i="1"/>
  <c r="K63" i="1" s="1"/>
  <c r="K19" i="1"/>
  <c r="K24" i="1"/>
  <c r="K25" i="1"/>
  <c r="K26" i="1"/>
  <c r="K27" i="1"/>
  <c r="K21" i="1" l="1"/>
  <c r="K55" i="1" l="1"/>
  <c r="K52" i="1"/>
  <c r="K51" i="1"/>
  <c r="K50" i="1"/>
  <c r="K42" i="1"/>
  <c r="K41" i="1"/>
  <c r="K40" i="1"/>
  <c r="K38" i="1"/>
  <c r="K35" i="1"/>
  <c r="K33" i="1"/>
  <c r="K32" i="1"/>
  <c r="K29" i="1"/>
  <c r="K23" i="1"/>
  <c r="K17" i="1"/>
  <c r="K16" i="1"/>
  <c r="K15" i="1"/>
  <c r="K14" i="1"/>
  <c r="K53" i="1" l="1"/>
  <c r="I65" i="1" s="1"/>
  <c r="K57" i="1"/>
  <c r="I66" i="1" s="1"/>
  <c r="I68" i="1" l="1"/>
  <c r="I69" i="1" s="1"/>
  <c r="I70" i="1" s="1"/>
</calcChain>
</file>

<file path=xl/sharedStrings.xml><?xml version="1.0" encoding="utf-8"?>
<sst xmlns="http://schemas.openxmlformats.org/spreadsheetml/2006/main" count="184" uniqueCount="89">
  <si>
    <t>Description</t>
  </si>
  <si>
    <t>Qty</t>
  </si>
  <si>
    <t>Rate</t>
  </si>
  <si>
    <t>Amount</t>
  </si>
  <si>
    <t>GST 10%:</t>
  </si>
  <si>
    <t>Grand Total:</t>
  </si>
  <si>
    <t>Task</t>
  </si>
  <si>
    <t>Units</t>
  </si>
  <si>
    <t>Description:</t>
  </si>
  <si>
    <t>BILL OF QUANTITIES</t>
  </si>
  <si>
    <r>
      <t xml:space="preserve">Note: </t>
    </r>
    <r>
      <rPr>
        <sz val="9"/>
        <rFont val="Arial"/>
        <family val="2"/>
      </rPr>
      <t>This schedule of quantities is to be used as a guide only.  It is the contractor's responsibility to check the accuracy of quantities and amend them accordingly prior to submission of the final tender price.</t>
    </r>
  </si>
  <si>
    <t>Line</t>
  </si>
  <si>
    <t>Asset</t>
  </si>
  <si>
    <t>C/O</t>
  </si>
  <si>
    <t>Project:</t>
  </si>
  <si>
    <t>R/NR</t>
  </si>
  <si>
    <t>C</t>
  </si>
  <si>
    <t>Disburse</t>
  </si>
  <si>
    <t>Item</t>
  </si>
  <si>
    <t>Final Site Specific Construction Safety Management Plan (including Safe Work Method Statements / JSA's and Traffic &amp; Pedestrian Management) Parks</t>
  </si>
  <si>
    <t>Final Site Specific Environmental Management Plan (including implementation of all Control Measures)</t>
  </si>
  <si>
    <t>Locate Existing Services</t>
  </si>
  <si>
    <t>Survey Setout of Proposed Works</t>
  </si>
  <si>
    <t>Demolition &amp; Removal</t>
  </si>
  <si>
    <t>NR</t>
  </si>
  <si>
    <t>Furniture</t>
  </si>
  <si>
    <t>Tree Protection</t>
  </si>
  <si>
    <t>Arborist Tree Protection Services in Accordance with AS4970-2009</t>
  </si>
  <si>
    <t>Landscaping</t>
  </si>
  <si>
    <t>R</t>
  </si>
  <si>
    <t>No.</t>
  </si>
  <si>
    <t>l/m</t>
  </si>
  <si>
    <t xml:space="preserve">Sandstone </t>
  </si>
  <si>
    <t>Park Structure</t>
  </si>
  <si>
    <t>Park Furniture</t>
  </si>
  <si>
    <t>Certification</t>
  </si>
  <si>
    <t xml:space="preserve">Lodge and acquire Building Approval with Form 16 and Form 21 supplied on completion                            </t>
  </si>
  <si>
    <t xml:space="preserve">Lodge and acquire Plumbing Approval with Final Certification on completion                  </t>
  </si>
  <si>
    <t>Additional Items</t>
  </si>
  <si>
    <t>Subtotal Lump Sum Items:</t>
  </si>
  <si>
    <t>Subtotal Additional Items:</t>
  </si>
  <si>
    <t>Lump Sum Items (excl. GST):</t>
  </si>
  <si>
    <t>SubTotal:</t>
  </si>
  <si>
    <t>OS</t>
  </si>
  <si>
    <t>Signage</t>
  </si>
  <si>
    <t>Install Reinstated site Sandstone Block boundary treatment</t>
  </si>
  <si>
    <r>
      <t xml:space="preserve">Supply &amp; Install Sandstone Boulder Groups in Garden Areas </t>
    </r>
    <r>
      <rPr>
        <i/>
        <sz val="11"/>
        <rFont val="Arial"/>
        <family val="2"/>
      </rPr>
      <t>(Group of 3)</t>
    </r>
    <r>
      <rPr>
        <sz val="11"/>
        <rFont val="Arial"/>
        <family val="2"/>
      </rPr>
      <t xml:space="preserve"> as specified </t>
    </r>
  </si>
  <si>
    <t xml:space="preserve">Supply &amp; Install Sandstone Boulder Retaining wall as specified </t>
  </si>
  <si>
    <t xml:space="preserve">Supply &amp; Install Carved Sandstone Block as specified </t>
  </si>
  <si>
    <r>
      <t xml:space="preserve">Supply &amp; Install </t>
    </r>
    <r>
      <rPr>
        <b/>
        <sz val="11"/>
        <rFont val="Arial"/>
        <family val="2"/>
      </rPr>
      <t>Park Name Sign</t>
    </r>
    <r>
      <rPr>
        <sz val="11"/>
        <rFont val="Arial"/>
        <family val="2"/>
      </rPr>
      <t xml:space="preserve"> in Accordance with RCC Wayfinding Signage Manual </t>
    </r>
    <r>
      <rPr>
        <b/>
        <sz val="11"/>
        <rFont val="Arial"/>
        <family val="2"/>
      </rPr>
      <t>RCC-NW-03</t>
    </r>
    <r>
      <rPr>
        <sz val="11"/>
        <rFont val="Arial"/>
        <family val="2"/>
      </rPr>
      <t xml:space="preserve">   (Digital Graphics Supplied by RCC)</t>
    </r>
  </si>
  <si>
    <t xml:space="preserve">                                                                  INFRASTRUCTURE PROJECT UNIT</t>
  </si>
  <si>
    <t>20842 CIP Skate Bowl - Windemere Road Park, Alexandra Hills</t>
  </si>
  <si>
    <t>Park Upgrade</t>
  </si>
  <si>
    <t>Provisional Items</t>
  </si>
  <si>
    <t>Skate Bowl</t>
  </si>
  <si>
    <t>Skate Park Equipment</t>
  </si>
  <si>
    <t>Skate Equipment</t>
  </si>
  <si>
    <t>Fencing</t>
  </si>
  <si>
    <t xml:space="preserve">Repaint existing fence </t>
  </si>
  <si>
    <t>Patch and Paint existing Shelter</t>
  </si>
  <si>
    <r>
      <t>Remove and Dispose - Park Furniture -</t>
    </r>
    <r>
      <rPr>
        <i/>
        <sz val="11"/>
        <rFont val="Arial"/>
        <family val="2"/>
      </rPr>
      <t xml:space="preserve"> Seats</t>
    </r>
  </si>
  <si>
    <t>Skate Bowl Repair Works</t>
  </si>
  <si>
    <t>Design Stages</t>
  </si>
  <si>
    <t>Preliminary Stage</t>
  </si>
  <si>
    <t>Stage 3: Permits and Applications lodgement and approval</t>
  </si>
  <si>
    <t>Resheet damaged roof - shelter</t>
  </si>
  <si>
    <t>Provisional Items (excl. GST):</t>
  </si>
  <si>
    <t>Additional Items:</t>
  </si>
  <si>
    <t>Subtotal Provisional Items:</t>
  </si>
  <si>
    <t>m²</t>
  </si>
  <si>
    <t>Maintain turf - minimum 2 weeks</t>
  </si>
  <si>
    <t>Stage 1: Condition assessment of existing skate park and Preliminary Design including, drawings for review by RCC</t>
  </si>
  <si>
    <t>Concrete resurfacing / grinding</t>
  </si>
  <si>
    <t>Surface coatings / sealants</t>
  </si>
  <si>
    <t>Adjustment and re-profiling</t>
  </si>
  <si>
    <t>Supply &amp; install steel skate rails</t>
  </si>
  <si>
    <t>Supply &amp; install skate ledges</t>
  </si>
  <si>
    <t>Supply &amp; install manual pads</t>
  </si>
  <si>
    <t>Concrete banks/ramps</t>
  </si>
  <si>
    <t>Fence condition assessment and repair works</t>
  </si>
  <si>
    <t>Stage 2: Detailed Design (including 2-3 week hold point for Councillor approval)</t>
  </si>
  <si>
    <t>Stage 4: Final RPEQ certified 'For Construction' drawings with supporting documentation</t>
  </si>
  <si>
    <t xml:space="preserve">Make good areas disturbed by construction, including areas where trees have been removed by RCC. </t>
  </si>
  <si>
    <t>Site Establishment &amp; Disestablishment mainland</t>
  </si>
  <si>
    <t>Site clearance and high-pressure cleaning of skate bowl and surrounding concrete areas</t>
  </si>
  <si>
    <t>Structural repairs to concrete</t>
  </si>
  <si>
    <t>Supply &amp; install Skate Park approved seating under shelter</t>
  </si>
  <si>
    <t xml:space="preserve">Supply final RPEQ certified 'As Constructed' and ADAC drawings with Forms 16, 21, product specifications, manuals, warranties and any other documentation to reach Practical Completion                                           </t>
  </si>
  <si>
    <t>Supply &amp; install sandstone block retaining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</si>
</sst>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000"/>
    <numFmt numFmtId="165" formatCode="0000"/>
    <numFmt numFmtId="166" formatCode="&quot;$&quot;#,##0.00"/>
    <numFmt numFmtId="167" formatCode="_-[$$-C09]* #,##0.00_-;\-[$$-C09]* #,##0.00_-;_-[$$-C09]* &quot;-&quot;??_-;_-@_-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Officina Sans Book"/>
      <family val="2"/>
    </font>
    <font>
      <sz val="10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0"/>
      <color indexed="18"/>
      <name val="Arial"/>
      <family val="2"/>
    </font>
    <font>
      <sz val="7"/>
      <color indexed="10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6"/>
      <color indexed="18"/>
      <name val="Arial"/>
      <family val="2"/>
    </font>
    <font>
      <sz val="16"/>
      <name val="Arial"/>
      <family val="2"/>
    </font>
    <font>
      <b/>
      <sz val="11"/>
      <color theme="8" tint="0.39997558519241921"/>
      <name val="Arial"/>
      <family val="2"/>
    </font>
    <font>
      <sz val="11"/>
      <color theme="0"/>
      <name val="Arial"/>
      <family val="2"/>
    </font>
    <font>
      <i/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indexed="48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37">
    <xf numFmtId="0" fontId="0" fillId="0" borderId="0" xfId="0"/>
    <xf numFmtId="164" fontId="4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14" fontId="12" fillId="0" borderId="0" xfId="0" applyNumberFormat="1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164" fontId="4" fillId="0" borderId="2" xfId="0" applyNumberFormat="1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0" borderId="0" xfId="0" applyAlignment="1"/>
    <xf numFmtId="1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7" borderId="13" xfId="0" applyFont="1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164" fontId="6" fillId="0" borderId="1" xfId="0" applyNumberFormat="1" applyFon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0" borderId="3" xfId="0" applyFont="1" applyBorder="1" applyAlignment="1"/>
    <xf numFmtId="0" fontId="6" fillId="0" borderId="4" xfId="0" applyFont="1" applyBorder="1" applyAlignment="1"/>
    <xf numFmtId="0" fontId="0" fillId="0" borderId="0" xfId="0" applyAlignment="1" applyProtection="1">
      <protection locked="0"/>
    </xf>
    <xf numFmtId="0" fontId="6" fillId="0" borderId="5" xfId="0" applyFont="1" applyBorder="1" applyAlignment="1"/>
    <xf numFmtId="0" fontId="6" fillId="0" borderId="0" xfId="0" applyFont="1" applyBorder="1" applyAlignment="1"/>
    <xf numFmtId="0" fontId="1" fillId="0" borderId="0" xfId="0" applyFont="1" applyBorder="1" applyAlignment="1" applyProtection="1">
      <protection locked="0"/>
    </xf>
    <xf numFmtId="0" fontId="14" fillId="0" borderId="0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6" fillId="5" borderId="13" xfId="0" applyFont="1" applyFill="1" applyBorder="1" applyAlignment="1" applyProtection="1">
      <alignment horizontal="center" wrapText="1"/>
      <protection locked="0"/>
    </xf>
    <xf numFmtId="0" fontId="9" fillId="5" borderId="1" xfId="0" applyFont="1" applyFill="1" applyBorder="1" applyAlignment="1" applyProtection="1">
      <alignment horizontal="center" wrapText="1"/>
      <protection locked="0"/>
    </xf>
    <xf numFmtId="0" fontId="9" fillId="5" borderId="1" xfId="0" applyFont="1" applyFill="1" applyBorder="1" applyAlignment="1" applyProtection="1">
      <alignment wrapText="1"/>
      <protection locked="0"/>
    </xf>
    <xf numFmtId="1" fontId="9" fillId="5" borderId="1" xfId="0" applyNumberFormat="1" applyFont="1" applyFill="1" applyBorder="1" applyAlignment="1" applyProtection="1">
      <alignment horizontal="center" wrapText="1"/>
      <protection locked="0"/>
    </xf>
    <xf numFmtId="166" fontId="9" fillId="5" borderId="1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 applyProtection="1">
      <alignment horizontal="center" wrapText="1"/>
      <protection locked="0"/>
    </xf>
    <xf numFmtId="0" fontId="5" fillId="0" borderId="15" xfId="0" applyFont="1" applyBorder="1" applyAlignment="1" applyProtection="1">
      <alignment wrapText="1"/>
      <protection locked="0"/>
    </xf>
    <xf numFmtId="0" fontId="5" fillId="0" borderId="15" xfId="0" applyFont="1" applyBorder="1" applyAlignment="1" applyProtection="1">
      <alignment horizontal="center" wrapText="1"/>
      <protection locked="0"/>
    </xf>
    <xf numFmtId="44" fontId="5" fillId="0" borderId="1" xfId="0" applyNumberFormat="1" applyFont="1" applyBorder="1" applyAlignment="1">
      <alignment wrapText="1"/>
    </xf>
    <xf numFmtId="0" fontId="5" fillId="0" borderId="1" xfId="0" applyFont="1" applyBorder="1" applyAlignment="1" applyProtection="1">
      <alignment wrapText="1"/>
      <protection locked="0"/>
    </xf>
    <xf numFmtId="0" fontId="5" fillId="0" borderId="1" xfId="0" applyFont="1" applyBorder="1" applyAlignment="1" applyProtection="1">
      <alignment horizontal="center" wrapText="1"/>
      <protection locked="0"/>
    </xf>
    <xf numFmtId="0" fontId="5" fillId="0" borderId="13" xfId="0" applyFont="1" applyBorder="1" applyAlignment="1" applyProtection="1">
      <alignment wrapText="1"/>
      <protection locked="0"/>
    </xf>
    <xf numFmtId="0" fontId="5" fillId="4" borderId="13" xfId="0" applyFont="1" applyFill="1" applyBorder="1" applyAlignment="1" applyProtection="1">
      <alignment horizontal="center" wrapText="1"/>
      <protection locked="0"/>
    </xf>
    <xf numFmtId="44" fontId="5" fillId="0" borderId="13" xfId="0" applyNumberFormat="1" applyFont="1" applyBorder="1" applyAlignment="1">
      <alignment wrapText="1"/>
    </xf>
    <xf numFmtId="0" fontId="4" fillId="0" borderId="0" xfId="0" applyFont="1" applyBorder="1" applyAlignment="1" applyProtection="1">
      <alignment wrapText="1"/>
      <protection locked="0"/>
    </xf>
    <xf numFmtId="0" fontId="4" fillId="0" borderId="0" xfId="0" applyFont="1" applyBorder="1" applyAlignment="1" applyProtection="1">
      <alignment horizontal="center" wrapText="1"/>
      <protection locked="0"/>
    </xf>
    <xf numFmtId="0" fontId="4" fillId="0" borderId="0" xfId="0" applyFont="1" applyAlignment="1"/>
    <xf numFmtId="0" fontId="5" fillId="4" borderId="1" xfId="0" applyFont="1" applyFill="1" applyBorder="1" applyAlignment="1" applyProtection="1">
      <alignment horizontal="center" wrapText="1"/>
      <protection locked="0"/>
    </xf>
    <xf numFmtId="0" fontId="5" fillId="0" borderId="0" xfId="0" applyFont="1" applyAlignment="1" applyProtection="1">
      <alignment wrapText="1"/>
      <protection locked="0"/>
    </xf>
    <xf numFmtId="0" fontId="9" fillId="5" borderId="13" xfId="0" applyFont="1" applyFill="1" applyBorder="1" applyAlignment="1" applyProtection="1">
      <alignment horizontal="center" wrapText="1"/>
      <protection locked="0"/>
    </xf>
    <xf numFmtId="0" fontId="9" fillId="5" borderId="13" xfId="0" applyFont="1" applyFill="1" applyBorder="1" applyAlignment="1" applyProtection="1">
      <alignment wrapText="1"/>
      <protection locked="0"/>
    </xf>
    <xf numFmtId="1" fontId="9" fillId="5" borderId="13" xfId="0" applyNumberFormat="1" applyFont="1" applyFill="1" applyBorder="1" applyAlignment="1" applyProtection="1">
      <alignment horizontal="center" wrapText="1"/>
      <protection locked="0"/>
    </xf>
    <xf numFmtId="166" fontId="9" fillId="5" borderId="13" xfId="0" applyNumberFormat="1" applyFont="1" applyFill="1" applyBorder="1" applyAlignment="1" applyProtection="1">
      <alignment wrapText="1"/>
      <protection locked="0"/>
    </xf>
    <xf numFmtId="0" fontId="6" fillId="6" borderId="13" xfId="0" applyFont="1" applyFill="1" applyBorder="1" applyAlignment="1" applyProtection="1">
      <alignment horizontal="center" wrapText="1"/>
      <protection locked="0"/>
    </xf>
    <xf numFmtId="0" fontId="5" fillId="6" borderId="13" xfId="0" applyFont="1" applyFill="1" applyBorder="1" applyAlignment="1" applyProtection="1">
      <alignment horizontal="center" wrapText="1"/>
      <protection locked="0"/>
    </xf>
    <xf numFmtId="0" fontId="9" fillId="6" borderId="13" xfId="0" applyFont="1" applyFill="1" applyBorder="1" applyAlignment="1" applyProtection="1">
      <alignment wrapText="1"/>
      <protection locked="0"/>
    </xf>
    <xf numFmtId="1" fontId="5" fillId="6" borderId="13" xfId="0" applyNumberFormat="1" applyFont="1" applyFill="1" applyBorder="1" applyAlignment="1" applyProtection="1">
      <alignment horizontal="center" wrapText="1"/>
      <protection locked="0"/>
    </xf>
    <xf numFmtId="167" fontId="5" fillId="0" borderId="13" xfId="1" applyNumberFormat="1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>
      <alignment wrapText="1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5" fillId="0" borderId="1" xfId="1" applyNumberFormat="1" applyFont="1" applyFill="1" applyBorder="1" applyAlignment="1" applyProtection="1">
      <alignment horizontal="center" wrapText="1"/>
      <protection locked="0"/>
    </xf>
    <xf numFmtId="0" fontId="5" fillId="6" borderId="1" xfId="0" applyFont="1" applyFill="1" applyBorder="1" applyAlignment="1" applyProtection="1">
      <alignment horizontal="center" wrapText="1"/>
      <protection locked="0"/>
    </xf>
    <xf numFmtId="0" fontId="9" fillId="6" borderId="1" xfId="0" applyFont="1" applyFill="1" applyBorder="1" applyAlignment="1" applyProtection="1">
      <alignment wrapText="1"/>
      <protection locked="0"/>
    </xf>
    <xf numFmtId="0" fontId="5" fillId="0" borderId="1" xfId="0" applyFont="1" applyBorder="1" applyAlignment="1"/>
    <xf numFmtId="0" fontId="6" fillId="6" borderId="1" xfId="0" applyFont="1" applyFill="1" applyBorder="1" applyAlignment="1" applyProtection="1">
      <alignment horizontal="center" wrapText="1"/>
      <protection locked="0"/>
    </xf>
    <xf numFmtId="1" fontId="5" fillId="6" borderId="1" xfId="0" applyNumberFormat="1" applyFont="1" applyFill="1" applyBorder="1" applyAlignment="1" applyProtection="1">
      <alignment horizontal="center" wrapText="1"/>
      <protection locked="0"/>
    </xf>
    <xf numFmtId="0" fontId="5" fillId="0" borderId="16" xfId="0" applyFont="1" applyBorder="1" applyAlignment="1" applyProtection="1">
      <alignment horizontal="center" wrapText="1"/>
      <protection locked="0"/>
    </xf>
    <xf numFmtId="0" fontId="5" fillId="0" borderId="16" xfId="0" applyFont="1" applyBorder="1" applyAlignment="1">
      <alignment wrapText="1"/>
    </xf>
    <xf numFmtId="167" fontId="5" fillId="0" borderId="16" xfId="1" applyNumberFormat="1" applyFont="1" applyFill="1" applyBorder="1" applyAlignment="1" applyProtection="1">
      <alignment horizontal="center" wrapText="1"/>
      <protection locked="0"/>
    </xf>
    <xf numFmtId="0" fontId="5" fillId="0" borderId="13" xfId="0" applyFont="1" applyBorder="1" applyAlignment="1">
      <alignment wrapText="1"/>
    </xf>
    <xf numFmtId="0" fontId="8" fillId="0" borderId="0" xfId="0" applyFont="1" applyAlignment="1" applyProtection="1">
      <alignment horizontal="right" wrapText="1"/>
      <protection locked="0"/>
    </xf>
    <xf numFmtId="44" fontId="5" fillId="0" borderId="1" xfId="1" applyFont="1" applyBorder="1" applyAlignment="1" applyProtection="1"/>
    <xf numFmtId="0" fontId="4" fillId="0" borderId="1" xfId="0" applyFont="1" applyBorder="1" applyAlignment="1" applyProtection="1">
      <alignment wrapText="1"/>
      <protection locked="0"/>
    </xf>
    <xf numFmtId="0" fontId="5" fillId="0" borderId="6" xfId="0" applyFont="1" applyBorder="1" applyAlignment="1" applyProtection="1">
      <alignment horizontal="left" wrapText="1"/>
      <protection locked="0"/>
    </xf>
    <xf numFmtId="0" fontId="5" fillId="0" borderId="2" xfId="0" applyFont="1" applyBorder="1" applyAlignment="1" applyProtection="1">
      <alignment horizontal="center" wrapText="1"/>
      <protection locked="0"/>
    </xf>
    <xf numFmtId="0" fontId="8" fillId="0" borderId="14" xfId="0" applyFont="1" applyBorder="1" applyAlignment="1" applyProtection="1">
      <alignment horizontal="right" wrapText="1"/>
      <protection locked="0"/>
    </xf>
    <xf numFmtId="44" fontId="4" fillId="0" borderId="1" xfId="0" applyNumberFormat="1" applyFont="1" applyBorder="1" applyAlignment="1"/>
    <xf numFmtId="0" fontId="4" fillId="0" borderId="1" xfId="0" applyFont="1" applyBorder="1" applyAlignment="1" applyProtection="1">
      <alignment horizontal="center" wrapText="1"/>
      <protection locked="0"/>
    </xf>
    <xf numFmtId="0" fontId="1" fillId="0" borderId="1" xfId="0" applyFont="1" applyBorder="1" applyAlignment="1" applyProtection="1">
      <alignment horizontal="center" wrapText="1"/>
      <protection locked="0"/>
    </xf>
    <xf numFmtId="0" fontId="6" fillId="0" borderId="1" xfId="0" applyFont="1" applyBorder="1" applyAlignment="1" applyProtection="1">
      <alignment horizontal="center" wrapText="1"/>
      <protection locked="0"/>
    </xf>
    <xf numFmtId="0" fontId="4" fillId="0" borderId="6" xfId="0" applyFont="1" applyBorder="1" applyAlignment="1" applyProtection="1">
      <alignment horizontal="left" wrapText="1"/>
      <protection locked="0"/>
    </xf>
    <xf numFmtId="0" fontId="5" fillId="0" borderId="0" xfId="0" applyFont="1" applyBorder="1" applyAlignment="1" applyProtection="1">
      <alignment horizontal="center" wrapText="1"/>
      <protection locked="0"/>
    </xf>
    <xf numFmtId="0" fontId="8" fillId="0" borderId="0" xfId="0" applyFont="1" applyBorder="1" applyAlignment="1" applyProtection="1">
      <alignment horizontal="right" wrapText="1"/>
      <protection locked="0"/>
    </xf>
    <xf numFmtId="0" fontId="5" fillId="0" borderId="0" xfId="0" applyFont="1" applyBorder="1" applyAlignment="1"/>
    <xf numFmtId="44" fontId="4" fillId="0" borderId="0" xfId="0" applyNumberFormat="1" applyFont="1" applyBorder="1" applyAlignment="1"/>
    <xf numFmtId="165" fontId="5" fillId="0" borderId="0" xfId="0" applyNumberFormat="1" applyFont="1" applyAlignment="1"/>
    <xf numFmtId="0" fontId="7" fillId="0" borderId="0" xfId="0" applyFont="1" applyBorder="1" applyAlignment="1" applyProtection="1">
      <alignment horizontal="center" wrapText="1"/>
      <protection locked="0"/>
    </xf>
    <xf numFmtId="0" fontId="5" fillId="0" borderId="0" xfId="0" applyFont="1" applyAlignment="1"/>
    <xf numFmtId="164" fontId="4" fillId="0" borderId="0" xfId="0" applyNumberFormat="1" applyFont="1" applyAlignment="1"/>
    <xf numFmtId="0" fontId="6" fillId="0" borderId="0" xfId="0" applyFont="1" applyAlignment="1">
      <alignment horizontal="center"/>
    </xf>
    <xf numFmtId="0" fontId="3" fillId="0" borderId="0" xfId="0" applyFont="1" applyAlignment="1"/>
    <xf numFmtId="0" fontId="5" fillId="0" borderId="16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44" fontId="5" fillId="0" borderId="1" xfId="1" applyFont="1" applyBorder="1" applyAlignment="1" applyProtection="1">
      <alignment wrapText="1"/>
      <protection locked="0"/>
    </xf>
    <xf numFmtId="44" fontId="5" fillId="0" borderId="13" xfId="1" applyFont="1" applyFill="1" applyBorder="1" applyAlignment="1" applyProtection="1">
      <alignment horizontal="center" wrapText="1"/>
      <protection locked="0"/>
    </xf>
    <xf numFmtId="44" fontId="5" fillId="0" borderId="1" xfId="0" applyNumberFormat="1" applyFont="1" applyBorder="1" applyAlignment="1"/>
    <xf numFmtId="44" fontId="5" fillId="0" borderId="1" xfId="1" applyFont="1" applyBorder="1" applyAlignment="1"/>
    <xf numFmtId="0" fontId="6" fillId="2" borderId="13" xfId="0" applyFont="1" applyFill="1" applyBorder="1" applyAlignment="1">
      <alignment horizontal="center" vertical="center"/>
    </xf>
    <xf numFmtId="1" fontId="17" fillId="5" borderId="1" xfId="0" applyNumberFormat="1" applyFont="1" applyFill="1" applyBorder="1" applyAlignment="1">
      <alignment horizontal="center" vertical="center" wrapText="1"/>
    </xf>
    <xf numFmtId="0" fontId="5" fillId="0" borderId="15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1" fontId="5" fillId="0" borderId="13" xfId="0" applyNumberFormat="1" applyFont="1" applyBorder="1" applyAlignment="1" applyProtection="1">
      <alignment horizontal="center" vertical="center" wrapText="1"/>
      <protection locked="0"/>
    </xf>
    <xf numFmtId="1" fontId="5" fillId="0" borderId="1" xfId="0" applyNumberFormat="1" applyFont="1" applyBorder="1" applyAlignment="1" applyProtection="1">
      <alignment horizontal="center" vertical="center" wrapText="1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1" fontId="17" fillId="5" borderId="13" xfId="0" applyNumberFormat="1" applyFont="1" applyFill="1" applyBorder="1" applyAlignment="1">
      <alignment horizontal="center" vertical="center" wrapText="1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0" fontId="1" fillId="0" borderId="16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" borderId="4" xfId="0" applyFont="1" applyFill="1" applyBorder="1" applyAlignment="1" applyProtection="1">
      <alignment horizontal="center" wrapText="1"/>
      <protection locked="0"/>
    </xf>
    <xf numFmtId="0" fontId="4" fillId="0" borderId="0" xfId="0" applyFont="1" applyBorder="1" applyAlignment="1" applyProtection="1">
      <alignment wrapText="1"/>
      <protection locked="0"/>
    </xf>
    <xf numFmtId="0" fontId="15" fillId="0" borderId="7" xfId="0" applyFont="1" applyBorder="1" applyAlignment="1" applyProtection="1">
      <alignment horizontal="right"/>
      <protection locked="0"/>
    </xf>
    <xf numFmtId="0" fontId="16" fillId="0" borderId="7" xfId="0" applyFont="1" applyBorder="1" applyAlignment="1" applyProtection="1">
      <alignment horizontal="right"/>
      <protection locked="0"/>
    </xf>
    <xf numFmtId="0" fontId="8" fillId="0" borderId="8" xfId="0" applyFont="1" applyFill="1" applyBorder="1" applyAlignment="1" applyProtection="1">
      <alignment horizontal="left" wrapText="1"/>
      <protection locked="0"/>
    </xf>
    <xf numFmtId="0" fontId="8" fillId="0" borderId="7" xfId="0" applyFont="1" applyFill="1" applyBorder="1" applyAlignment="1" applyProtection="1">
      <alignment horizontal="left" wrapText="1"/>
      <protection locked="0"/>
    </xf>
    <xf numFmtId="0" fontId="0" fillId="0" borderId="7" xfId="0" applyBorder="1" applyAlignment="1"/>
    <xf numFmtId="0" fontId="11" fillId="0" borderId="7" xfId="0" applyFont="1" applyFill="1" applyBorder="1" applyAlignment="1" applyProtection="1">
      <alignment horizontal="center" wrapText="1"/>
      <protection locked="0"/>
    </xf>
    <xf numFmtId="0" fontId="11" fillId="0" borderId="9" xfId="0" applyFont="1" applyBorder="1" applyAlignment="1"/>
    <xf numFmtId="0" fontId="6" fillId="0" borderId="4" xfId="0" applyFont="1" applyFill="1" applyBorder="1" applyAlignment="1" applyProtection="1">
      <alignment horizontal="left" wrapText="1"/>
      <protection locked="0"/>
    </xf>
    <xf numFmtId="0" fontId="6" fillId="0" borderId="12" xfId="0" applyFont="1" applyFill="1" applyBorder="1" applyAlignment="1" applyProtection="1">
      <alignment horizontal="left" wrapText="1"/>
      <protection locked="0"/>
    </xf>
    <xf numFmtId="0" fontId="6" fillId="0" borderId="0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8" fillId="0" borderId="0" xfId="0" applyFont="1" applyBorder="1" applyAlignment="1" applyProtection="1">
      <alignment horizontal="center" wrapText="1"/>
      <protection locked="0"/>
    </xf>
    <xf numFmtId="164" fontId="9" fillId="0" borderId="0" xfId="0" applyNumberFormat="1" applyFont="1" applyAlignment="1">
      <alignment horizontal="left" wrapText="1"/>
    </xf>
    <xf numFmtId="164" fontId="5" fillId="0" borderId="0" xfId="0" applyNumberFormat="1" applyFont="1" applyAlignment="1">
      <alignment horizontal="left" wrapText="1"/>
    </xf>
    <xf numFmtId="0" fontId="0" fillId="0" borderId="0" xfId="0" applyAlignment="1"/>
    <xf numFmtId="44" fontId="5" fillId="0" borderId="0" xfId="1" applyFont="1" applyBorder="1" applyAlignment="1">
      <alignment horizontal="center"/>
    </xf>
    <xf numFmtId="167" fontId="5" fillId="0" borderId="0" xfId="1" applyNumberFormat="1" applyFont="1" applyBorder="1" applyAlignment="1">
      <alignment horizontal="center"/>
    </xf>
    <xf numFmtId="44" fontId="5" fillId="0" borderId="0" xfId="2" applyFont="1" applyBorder="1" applyAlignment="1">
      <alignment horizontal="center"/>
    </xf>
    <xf numFmtId="44" fontId="5" fillId="0" borderId="7" xfId="2" applyFont="1" applyBorder="1" applyAlignment="1">
      <alignment horizontal="center"/>
    </xf>
    <xf numFmtId="44" fontId="5" fillId="0" borderId="11" xfId="1" applyFont="1" applyBorder="1" applyAlignment="1">
      <alignment horizontal="center"/>
    </xf>
    <xf numFmtId="44" fontId="5" fillId="7" borderId="13" xfId="1" applyFont="1" applyFill="1" applyBorder="1" applyAlignment="1">
      <alignment horizontal="center"/>
    </xf>
  </cellXfs>
  <cellStyles count="3">
    <cellStyle name="Currency" xfId="1" builtinId="4"/>
    <cellStyle name="Currency 2" xfId="2" xr:uid="{C1337E97-A851-4B1B-A612-583051A88583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microsoft.com/office/2006/relationships/vbaProject" Target="vbaProject.bin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Relationship Type="http://schemas.openxmlformats.org/officeDocument/2006/relationships/customXml" Target="/customXML/item3.xml" Id="R3ca512932dab42bf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6</xdr:col>
      <xdr:colOff>619125</xdr:colOff>
      <xdr:row>0</xdr:row>
      <xdr:rowOff>742950</xdr:rowOff>
    </xdr:to>
    <xdr:pic>
      <xdr:nvPicPr>
        <xdr:cNvPr id="1026" name="Picture 4" descr="RCC_Logo_Colour_Horizontal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47625"/>
          <a:ext cx="2924175" cy="6953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96"/>
  <sheetViews>
    <sheetView tabSelected="1" view="pageBreakPreview" topLeftCell="A8" zoomScale="85" zoomScaleNormal="100" zoomScaleSheetLayoutView="85" workbookViewId="0">
      <selection activeCell="G21" sqref="G21"/>
    </sheetView>
  </sheetViews>
  <sheetFormatPr defaultColWidth="9.140625" defaultRowHeight="15.75" x14ac:dyDescent="0.25"/>
  <cols>
    <col min="1" max="1" width="8" style="88" customWidth="1"/>
    <col min="2" max="2" width="8" style="9" hidden="1" customWidth="1"/>
    <col min="3" max="4" width="12.42578125" style="9" hidden="1" customWidth="1"/>
    <col min="5" max="5" width="5.28515625" style="9" customWidth="1"/>
    <col min="6" max="6" width="17.85546875" style="9" customWidth="1"/>
    <col min="7" max="7" width="65.28515625" style="9" customWidth="1"/>
    <col min="8" max="8" width="9.140625" style="12"/>
    <col min="9" max="9" width="8.7109375" style="113" customWidth="1"/>
    <col min="10" max="10" width="11.42578125" style="9" customWidth="1"/>
    <col min="11" max="11" width="27.5703125" style="9" customWidth="1"/>
    <col min="12" max="16384" width="9.140625" style="9"/>
  </cols>
  <sheetData>
    <row r="1" spans="1:28" s="5" customFormat="1" ht="61.5" customHeight="1" thickBot="1" x14ac:dyDescent="0.35">
      <c r="A1" s="116" t="s">
        <v>50</v>
      </c>
      <c r="B1" s="116"/>
      <c r="C1" s="116"/>
      <c r="D1" s="116"/>
      <c r="E1" s="116"/>
      <c r="F1" s="117"/>
      <c r="G1" s="117"/>
      <c r="H1" s="117"/>
      <c r="I1" s="117"/>
      <c r="J1" s="117"/>
      <c r="K1" s="117"/>
    </row>
    <row r="2" spans="1:28" s="5" customFormat="1" ht="24" customHeight="1" x14ac:dyDescent="0.25">
      <c r="A2" s="21" t="s">
        <v>14</v>
      </c>
      <c r="B2" s="22"/>
      <c r="C2" s="22"/>
      <c r="D2" s="22"/>
      <c r="E2" s="22"/>
      <c r="F2" s="123" t="s">
        <v>51</v>
      </c>
      <c r="G2" s="123"/>
      <c r="H2" s="123"/>
      <c r="I2" s="123"/>
      <c r="J2" s="123"/>
      <c r="K2" s="124"/>
      <c r="L2" s="3"/>
      <c r="M2" s="4"/>
      <c r="N2" s="4"/>
      <c r="AA2" s="23"/>
      <c r="AB2" s="6"/>
    </row>
    <row r="3" spans="1:28" s="5" customFormat="1" ht="17.25" customHeight="1" x14ac:dyDescent="0.25">
      <c r="A3" s="24" t="s">
        <v>8</v>
      </c>
      <c r="B3" s="25"/>
      <c r="C3" s="25"/>
      <c r="D3" s="25"/>
      <c r="E3" s="25"/>
      <c r="F3" s="125" t="s">
        <v>52</v>
      </c>
      <c r="G3" s="125"/>
      <c r="H3" s="125"/>
      <c r="I3" s="125"/>
      <c r="J3" s="125"/>
      <c r="K3" s="126"/>
      <c r="L3" s="4"/>
      <c r="M3" s="4"/>
      <c r="N3" s="4"/>
      <c r="AA3" s="23"/>
      <c r="AB3" s="23"/>
    </row>
    <row r="4" spans="1:28" s="5" customFormat="1" ht="12" customHeight="1" thickBot="1" x14ac:dyDescent="0.25">
      <c r="A4" s="118"/>
      <c r="B4" s="119"/>
      <c r="C4" s="119"/>
      <c r="D4" s="119"/>
      <c r="E4" s="119"/>
      <c r="F4" s="119"/>
      <c r="G4" s="119"/>
      <c r="H4" s="119"/>
      <c r="I4" s="120"/>
      <c r="J4" s="121"/>
      <c r="K4" s="122"/>
      <c r="M4" s="26"/>
      <c r="AA4" s="23"/>
      <c r="AB4" s="23"/>
    </row>
    <row r="5" spans="1:28" s="27" customFormat="1" ht="24" customHeight="1" x14ac:dyDescent="0.3">
      <c r="A5" s="114" t="s">
        <v>9</v>
      </c>
      <c r="B5" s="114"/>
      <c r="C5" s="114"/>
      <c r="D5" s="114"/>
      <c r="E5" s="114"/>
      <c r="F5" s="114"/>
      <c r="G5" s="114"/>
      <c r="H5" s="114"/>
      <c r="I5" s="114"/>
      <c r="J5" s="114"/>
      <c r="K5" s="114"/>
      <c r="AA5" s="28"/>
      <c r="AB5" s="28"/>
    </row>
    <row r="6" spans="1:28" ht="16.5" customHeight="1" x14ac:dyDescent="0.25">
      <c r="A6" s="8" t="s">
        <v>11</v>
      </c>
      <c r="B6" s="8" t="s">
        <v>6</v>
      </c>
      <c r="C6" s="8" t="s">
        <v>15</v>
      </c>
      <c r="D6" s="8"/>
      <c r="E6" s="8" t="s">
        <v>13</v>
      </c>
      <c r="F6" s="8" t="s">
        <v>12</v>
      </c>
      <c r="G6" s="8" t="s">
        <v>0</v>
      </c>
      <c r="H6" s="8" t="s">
        <v>7</v>
      </c>
      <c r="I6" s="96" t="s">
        <v>1</v>
      </c>
      <c r="J6" s="8" t="s">
        <v>2</v>
      </c>
      <c r="K6" s="8" t="s">
        <v>3</v>
      </c>
    </row>
    <row r="7" spans="1:28" ht="16.5" customHeight="1" x14ac:dyDescent="0.25">
      <c r="A7" s="29"/>
      <c r="B7" s="30"/>
      <c r="C7" s="30"/>
      <c r="D7" s="30"/>
      <c r="E7" s="30"/>
      <c r="F7" s="30"/>
      <c r="G7" s="31" t="s">
        <v>62</v>
      </c>
      <c r="H7" s="30"/>
      <c r="I7" s="97">
        <v>1</v>
      </c>
      <c r="J7" s="32"/>
      <c r="K7" s="33"/>
    </row>
    <row r="8" spans="1:28" ht="29.25" x14ac:dyDescent="0.25">
      <c r="A8" s="13">
        <v>1</v>
      </c>
      <c r="B8" s="13"/>
      <c r="C8" s="13"/>
      <c r="D8" s="13"/>
      <c r="E8" s="13"/>
      <c r="F8" s="34" t="s">
        <v>17</v>
      </c>
      <c r="G8" s="35" t="s">
        <v>71</v>
      </c>
      <c r="H8" s="36" t="s">
        <v>18</v>
      </c>
      <c r="I8" s="98">
        <v>1</v>
      </c>
      <c r="J8" s="136"/>
      <c r="K8" s="37">
        <f>I8*J8</f>
        <v>0</v>
      </c>
    </row>
    <row r="9" spans="1:28" ht="29.25" x14ac:dyDescent="0.25">
      <c r="A9" s="13">
        <v>2</v>
      </c>
      <c r="B9" s="13"/>
      <c r="C9" s="13"/>
      <c r="D9" s="13"/>
      <c r="E9" s="13"/>
      <c r="F9" s="34" t="s">
        <v>17</v>
      </c>
      <c r="G9" s="38" t="s">
        <v>80</v>
      </c>
      <c r="H9" s="39" t="s">
        <v>18</v>
      </c>
      <c r="I9" s="99">
        <v>1</v>
      </c>
      <c r="J9" s="136"/>
      <c r="K9" s="37">
        <f t="shared" ref="K9:K11" si="0">I9*J9</f>
        <v>0</v>
      </c>
    </row>
    <row r="10" spans="1:28" ht="26.25" customHeight="1" x14ac:dyDescent="0.25">
      <c r="A10" s="13">
        <v>3</v>
      </c>
      <c r="B10" s="13"/>
      <c r="C10" s="13"/>
      <c r="D10" s="13"/>
      <c r="E10" s="13"/>
      <c r="F10" s="34" t="s">
        <v>17</v>
      </c>
      <c r="G10" s="38" t="s">
        <v>64</v>
      </c>
      <c r="H10" s="39" t="s">
        <v>18</v>
      </c>
      <c r="I10" s="99">
        <v>1</v>
      </c>
      <c r="J10" s="136"/>
      <c r="K10" s="37">
        <f t="shared" si="0"/>
        <v>0</v>
      </c>
    </row>
    <row r="11" spans="1:28" ht="37.5" customHeight="1" x14ac:dyDescent="0.25">
      <c r="A11" s="13">
        <v>4</v>
      </c>
      <c r="B11" s="13"/>
      <c r="C11" s="13"/>
      <c r="D11" s="13"/>
      <c r="E11" s="13"/>
      <c r="F11" s="34" t="s">
        <v>17</v>
      </c>
      <c r="G11" s="40" t="s">
        <v>81</v>
      </c>
      <c r="H11" s="34" t="s">
        <v>18</v>
      </c>
      <c r="I11" s="100">
        <v>1</v>
      </c>
      <c r="J11" s="136"/>
      <c r="K11" s="37">
        <f t="shared" si="0"/>
        <v>0</v>
      </c>
    </row>
    <row r="12" spans="1:28" ht="16.5" customHeight="1" x14ac:dyDescent="0.25">
      <c r="A12" s="29"/>
      <c r="B12" s="30"/>
      <c r="C12" s="30"/>
      <c r="D12" s="30"/>
      <c r="E12" s="30"/>
      <c r="F12" s="30"/>
      <c r="G12" s="31" t="s">
        <v>63</v>
      </c>
      <c r="H12" s="30"/>
      <c r="I12" s="97">
        <v>1</v>
      </c>
      <c r="J12" s="32"/>
      <c r="K12" s="33"/>
    </row>
    <row r="13" spans="1:28" s="45" customFormat="1" ht="21.75" customHeight="1" x14ac:dyDescent="0.25">
      <c r="A13" s="16">
        <v>5</v>
      </c>
      <c r="B13" s="34">
        <v>6303</v>
      </c>
      <c r="C13" s="41"/>
      <c r="D13" s="41"/>
      <c r="E13" s="34" t="s">
        <v>16</v>
      </c>
      <c r="F13" s="34" t="s">
        <v>17</v>
      </c>
      <c r="G13" s="40" t="s">
        <v>83</v>
      </c>
      <c r="H13" s="34" t="s">
        <v>18</v>
      </c>
      <c r="I13" s="101">
        <v>1</v>
      </c>
      <c r="J13" s="42"/>
      <c r="K13" s="37">
        <f>I13*J13</f>
        <v>0</v>
      </c>
      <c r="L13" s="43"/>
      <c r="M13" s="43"/>
      <c r="N13" s="44"/>
      <c r="O13" s="44"/>
    </row>
    <row r="14" spans="1:28" s="45" customFormat="1" ht="43.5" x14ac:dyDescent="0.25">
      <c r="A14" s="16">
        <v>6</v>
      </c>
      <c r="B14" s="34">
        <v>6010</v>
      </c>
      <c r="C14" s="41"/>
      <c r="D14" s="41"/>
      <c r="E14" s="34" t="s">
        <v>16</v>
      </c>
      <c r="F14" s="34" t="s">
        <v>17</v>
      </c>
      <c r="G14" s="40" t="s">
        <v>19</v>
      </c>
      <c r="H14" s="34" t="s">
        <v>18</v>
      </c>
      <c r="I14" s="101">
        <v>1</v>
      </c>
      <c r="J14" s="42"/>
      <c r="K14" s="42">
        <f>I14*J14</f>
        <v>0</v>
      </c>
      <c r="L14" s="43"/>
      <c r="M14" s="43"/>
      <c r="N14" s="44"/>
      <c r="O14" s="44"/>
    </row>
    <row r="15" spans="1:28" s="45" customFormat="1" ht="35.25" customHeight="1" x14ac:dyDescent="0.25">
      <c r="A15" s="16">
        <v>7</v>
      </c>
      <c r="B15" s="34">
        <v>6321</v>
      </c>
      <c r="C15" s="41"/>
      <c r="D15" s="41"/>
      <c r="E15" s="34" t="s">
        <v>16</v>
      </c>
      <c r="F15" s="34" t="s">
        <v>17</v>
      </c>
      <c r="G15" s="40" t="s">
        <v>20</v>
      </c>
      <c r="H15" s="34" t="s">
        <v>18</v>
      </c>
      <c r="I15" s="101">
        <v>1</v>
      </c>
      <c r="J15" s="42"/>
      <c r="K15" s="42">
        <f>I15*J15</f>
        <v>0</v>
      </c>
      <c r="L15" s="43"/>
      <c r="M15" s="43"/>
      <c r="N15" s="44"/>
      <c r="O15" s="44"/>
    </row>
    <row r="16" spans="1:28" s="45" customFormat="1" ht="23.25" customHeight="1" x14ac:dyDescent="0.25">
      <c r="A16" s="16">
        <v>8</v>
      </c>
      <c r="B16" s="39">
        <v>6320</v>
      </c>
      <c r="C16" s="46"/>
      <c r="D16" s="46"/>
      <c r="E16" s="39" t="s">
        <v>16</v>
      </c>
      <c r="F16" s="39" t="s">
        <v>17</v>
      </c>
      <c r="G16" s="38" t="s">
        <v>21</v>
      </c>
      <c r="H16" s="39" t="s">
        <v>18</v>
      </c>
      <c r="I16" s="102">
        <v>1</v>
      </c>
      <c r="J16" s="37"/>
      <c r="K16" s="37">
        <f>I16*J16</f>
        <v>0</v>
      </c>
      <c r="L16" s="43"/>
      <c r="M16" s="43"/>
      <c r="N16" s="44"/>
      <c r="O16" s="44"/>
    </row>
    <row r="17" spans="1:15" s="45" customFormat="1" ht="19.5" customHeight="1" x14ac:dyDescent="0.25">
      <c r="A17" s="16">
        <v>9</v>
      </c>
      <c r="B17" s="39">
        <v>6039</v>
      </c>
      <c r="C17" s="46"/>
      <c r="D17" s="46"/>
      <c r="E17" s="39" t="s">
        <v>16</v>
      </c>
      <c r="F17" s="39" t="s">
        <v>17</v>
      </c>
      <c r="G17" s="38" t="s">
        <v>22</v>
      </c>
      <c r="H17" s="39" t="s">
        <v>18</v>
      </c>
      <c r="I17" s="102">
        <v>1</v>
      </c>
      <c r="J17" s="37"/>
      <c r="K17" s="37">
        <f>I17*J17</f>
        <v>0</v>
      </c>
      <c r="L17" s="43"/>
      <c r="M17" s="43"/>
      <c r="N17" s="44"/>
      <c r="O17" s="44"/>
    </row>
    <row r="18" spans="1:15" s="45" customFormat="1" x14ac:dyDescent="0.25">
      <c r="A18" s="29"/>
      <c r="B18" s="30"/>
      <c r="C18" s="30"/>
      <c r="D18" s="30"/>
      <c r="E18" s="30"/>
      <c r="F18" s="30"/>
      <c r="G18" s="31" t="s">
        <v>23</v>
      </c>
      <c r="H18" s="30"/>
      <c r="I18" s="97">
        <v>1</v>
      </c>
      <c r="J18" s="32"/>
      <c r="K18" s="33"/>
      <c r="L18" s="43"/>
      <c r="M18" s="43"/>
      <c r="N18" s="44"/>
      <c r="O18" s="44"/>
    </row>
    <row r="19" spans="1:15" s="45" customFormat="1" ht="26.25" customHeight="1" x14ac:dyDescent="0.25">
      <c r="A19" s="17">
        <v>10</v>
      </c>
      <c r="B19" s="39">
        <v>6166</v>
      </c>
      <c r="C19" s="39" t="s">
        <v>29</v>
      </c>
      <c r="D19" s="39" t="s">
        <v>43</v>
      </c>
      <c r="E19" s="39" t="s">
        <v>16</v>
      </c>
      <c r="F19" s="39" t="s">
        <v>25</v>
      </c>
      <c r="G19" s="38" t="s">
        <v>60</v>
      </c>
      <c r="H19" s="39" t="s">
        <v>18</v>
      </c>
      <c r="I19" s="103">
        <v>3</v>
      </c>
      <c r="J19" s="92"/>
      <c r="K19" s="37">
        <f>I19*J19</f>
        <v>0</v>
      </c>
      <c r="L19" s="47"/>
      <c r="M19" s="47"/>
      <c r="N19" s="44"/>
      <c r="O19" s="44"/>
    </row>
    <row r="20" spans="1:15" s="45" customFormat="1" x14ac:dyDescent="0.25">
      <c r="A20" s="29"/>
      <c r="B20" s="48"/>
      <c r="C20" s="48"/>
      <c r="D20" s="48"/>
      <c r="E20" s="48"/>
      <c r="F20" s="48"/>
      <c r="G20" s="49" t="s">
        <v>26</v>
      </c>
      <c r="H20" s="48"/>
      <c r="I20" s="104">
        <v>1</v>
      </c>
      <c r="J20" s="50"/>
      <c r="K20" s="51"/>
      <c r="L20" s="43"/>
      <c r="M20" s="43"/>
      <c r="N20" s="44"/>
      <c r="O20" s="44"/>
    </row>
    <row r="21" spans="1:15" s="45" customFormat="1" ht="28.5" customHeight="1" x14ac:dyDescent="0.25">
      <c r="A21" s="17">
        <v>11</v>
      </c>
      <c r="B21" s="39">
        <v>6371</v>
      </c>
      <c r="C21" s="46"/>
      <c r="D21" s="46"/>
      <c r="E21" s="39" t="s">
        <v>16</v>
      </c>
      <c r="F21" s="39" t="s">
        <v>17</v>
      </c>
      <c r="G21" s="38" t="s">
        <v>27</v>
      </c>
      <c r="H21" s="39" t="s">
        <v>18</v>
      </c>
      <c r="I21" s="102">
        <v>1</v>
      </c>
      <c r="J21" s="37"/>
      <c r="K21" s="37">
        <f>I21*J21</f>
        <v>0</v>
      </c>
      <c r="L21" s="43"/>
      <c r="M21" s="43"/>
      <c r="N21" s="44"/>
      <c r="O21" s="44"/>
    </row>
    <row r="22" spans="1:15" s="45" customFormat="1" x14ac:dyDescent="0.25">
      <c r="A22" s="52"/>
      <c r="B22" s="53"/>
      <c r="C22" s="53"/>
      <c r="D22" s="53"/>
      <c r="E22" s="53"/>
      <c r="F22" s="53"/>
      <c r="G22" s="54" t="s">
        <v>61</v>
      </c>
      <c r="H22" s="53"/>
      <c r="I22" s="104">
        <v>1</v>
      </c>
      <c r="J22" s="55"/>
      <c r="K22" s="51"/>
      <c r="L22" s="43"/>
      <c r="M22" s="43"/>
      <c r="N22" s="44"/>
      <c r="O22" s="44"/>
    </row>
    <row r="23" spans="1:15" s="45" customFormat="1" ht="29.25" x14ac:dyDescent="0.25">
      <c r="A23" s="16">
        <v>12</v>
      </c>
      <c r="B23" s="34">
        <v>6371</v>
      </c>
      <c r="C23" s="34" t="s">
        <v>29</v>
      </c>
      <c r="D23" s="34"/>
      <c r="E23" s="34" t="s">
        <v>16</v>
      </c>
      <c r="F23" s="34" t="s">
        <v>54</v>
      </c>
      <c r="G23" s="38" t="s">
        <v>84</v>
      </c>
      <c r="H23" s="39" t="s">
        <v>18</v>
      </c>
      <c r="I23" s="99">
        <v>1</v>
      </c>
      <c r="J23" s="56"/>
      <c r="K23" s="42">
        <f t="shared" ref="K23:K27" si="1">I23*J23</f>
        <v>0</v>
      </c>
      <c r="L23" s="43"/>
      <c r="M23" s="43"/>
      <c r="N23" s="44"/>
      <c r="O23" s="44"/>
    </row>
    <row r="24" spans="1:15" s="45" customFormat="1" x14ac:dyDescent="0.25">
      <c r="A24" s="16">
        <v>13</v>
      </c>
      <c r="B24" s="34"/>
      <c r="C24" s="34"/>
      <c r="D24" s="34"/>
      <c r="E24" s="34" t="s">
        <v>16</v>
      </c>
      <c r="F24" s="34" t="s">
        <v>54</v>
      </c>
      <c r="G24" s="38" t="s">
        <v>85</v>
      </c>
      <c r="H24" s="39" t="s">
        <v>18</v>
      </c>
      <c r="I24" s="99">
        <v>1</v>
      </c>
      <c r="J24" s="56"/>
      <c r="K24" s="42">
        <f t="shared" si="1"/>
        <v>0</v>
      </c>
      <c r="L24" s="43"/>
      <c r="M24" s="43"/>
      <c r="N24" s="44"/>
      <c r="O24" s="44"/>
    </row>
    <row r="25" spans="1:15" s="45" customFormat="1" x14ac:dyDescent="0.25">
      <c r="A25" s="16">
        <v>14</v>
      </c>
      <c r="B25" s="34"/>
      <c r="C25" s="34"/>
      <c r="D25" s="34"/>
      <c r="E25" s="34" t="s">
        <v>16</v>
      </c>
      <c r="F25" s="34" t="s">
        <v>54</v>
      </c>
      <c r="G25" s="38" t="s">
        <v>72</v>
      </c>
      <c r="H25" s="39" t="s">
        <v>18</v>
      </c>
      <c r="I25" s="99">
        <v>1</v>
      </c>
      <c r="J25" s="56"/>
      <c r="K25" s="42">
        <f t="shared" si="1"/>
        <v>0</v>
      </c>
      <c r="L25" s="43"/>
      <c r="M25" s="43"/>
      <c r="N25" s="44"/>
      <c r="O25" s="44"/>
    </row>
    <row r="26" spans="1:15" s="45" customFormat="1" x14ac:dyDescent="0.25">
      <c r="A26" s="16">
        <v>15</v>
      </c>
      <c r="B26" s="34"/>
      <c r="C26" s="34"/>
      <c r="D26" s="34"/>
      <c r="E26" s="34" t="s">
        <v>16</v>
      </c>
      <c r="F26" s="34" t="s">
        <v>54</v>
      </c>
      <c r="G26" s="38" t="s">
        <v>73</v>
      </c>
      <c r="H26" s="39" t="s">
        <v>18</v>
      </c>
      <c r="I26" s="99">
        <v>1</v>
      </c>
      <c r="J26" s="56"/>
      <c r="K26" s="42">
        <f t="shared" si="1"/>
        <v>0</v>
      </c>
      <c r="L26" s="43"/>
      <c r="M26" s="43"/>
      <c r="N26" s="44"/>
      <c r="O26" s="44"/>
    </row>
    <row r="27" spans="1:15" s="45" customFormat="1" x14ac:dyDescent="0.25">
      <c r="A27" s="16">
        <v>16</v>
      </c>
      <c r="B27" s="34"/>
      <c r="C27" s="34"/>
      <c r="D27" s="34"/>
      <c r="E27" s="34" t="s">
        <v>16</v>
      </c>
      <c r="F27" s="34" t="s">
        <v>54</v>
      </c>
      <c r="G27" s="57" t="s">
        <v>74</v>
      </c>
      <c r="H27" s="39" t="s">
        <v>18</v>
      </c>
      <c r="I27" s="99">
        <v>1</v>
      </c>
      <c r="J27" s="56"/>
      <c r="K27" s="42">
        <f t="shared" si="1"/>
        <v>0</v>
      </c>
      <c r="L27" s="43"/>
      <c r="M27" s="43"/>
      <c r="N27" s="44"/>
      <c r="O27" s="44"/>
    </row>
    <row r="28" spans="1:15" s="45" customFormat="1" x14ac:dyDescent="0.25">
      <c r="A28" s="52"/>
      <c r="B28" s="53"/>
      <c r="C28" s="53"/>
      <c r="D28" s="53"/>
      <c r="E28" s="53"/>
      <c r="F28" s="53"/>
      <c r="G28" s="54" t="s">
        <v>32</v>
      </c>
      <c r="H28" s="53"/>
      <c r="I28" s="104">
        <v>1</v>
      </c>
      <c r="J28" s="55"/>
      <c r="K28" s="51"/>
      <c r="L28" s="43"/>
      <c r="M28" s="43"/>
      <c r="N28" s="44"/>
      <c r="O28" s="44"/>
    </row>
    <row r="29" spans="1:15" s="45" customFormat="1" ht="23.25" customHeight="1" x14ac:dyDescent="0.25">
      <c r="A29" s="17">
        <v>17</v>
      </c>
      <c r="B29" s="34">
        <v>6364</v>
      </c>
      <c r="C29" s="34" t="s">
        <v>24</v>
      </c>
      <c r="D29" s="34"/>
      <c r="E29" s="34" t="s">
        <v>16</v>
      </c>
      <c r="F29" s="34" t="s">
        <v>28</v>
      </c>
      <c r="G29" s="38" t="s">
        <v>88</v>
      </c>
      <c r="H29" s="39" t="s">
        <v>30</v>
      </c>
      <c r="I29" s="105">
        <v>5</v>
      </c>
      <c r="J29" s="56"/>
      <c r="K29" s="42">
        <f>I29*J29</f>
        <v>0</v>
      </c>
      <c r="L29" s="43"/>
      <c r="M29" s="43"/>
      <c r="N29" s="44"/>
      <c r="O29" s="44"/>
    </row>
    <row r="30" spans="1:15" s="45" customFormat="1" hidden="1" x14ac:dyDescent="0.25">
      <c r="A30" s="17">
        <v>33</v>
      </c>
      <c r="B30" s="34"/>
      <c r="C30" s="34"/>
      <c r="D30" s="34"/>
      <c r="E30" s="34"/>
      <c r="F30" s="34" t="s">
        <v>28</v>
      </c>
      <c r="G30" s="38" t="s">
        <v>45</v>
      </c>
      <c r="H30" s="39" t="s">
        <v>30</v>
      </c>
      <c r="I30" s="105">
        <v>24</v>
      </c>
      <c r="J30" s="56"/>
      <c r="K30" s="42"/>
      <c r="L30" s="43"/>
      <c r="M30" s="43"/>
      <c r="N30" s="44"/>
      <c r="O30" s="44"/>
    </row>
    <row r="31" spans="1:15" s="45" customFormat="1" ht="29.25" hidden="1" x14ac:dyDescent="0.25">
      <c r="A31" s="17">
        <v>34</v>
      </c>
      <c r="B31" s="34"/>
      <c r="C31" s="34"/>
      <c r="D31" s="34"/>
      <c r="E31" s="34"/>
      <c r="F31" s="34" t="s">
        <v>28</v>
      </c>
      <c r="G31" s="38" t="s">
        <v>46</v>
      </c>
      <c r="H31" s="39" t="s">
        <v>30</v>
      </c>
      <c r="I31" s="105">
        <v>4</v>
      </c>
      <c r="J31" s="56"/>
      <c r="K31" s="42"/>
      <c r="L31" s="43"/>
      <c r="M31" s="43"/>
      <c r="N31" s="44"/>
      <c r="O31" s="44"/>
    </row>
    <row r="32" spans="1:15" s="45" customFormat="1" hidden="1" x14ac:dyDescent="0.25">
      <c r="A32" s="17">
        <v>35</v>
      </c>
      <c r="B32" s="34">
        <v>6364</v>
      </c>
      <c r="C32" s="34" t="s">
        <v>24</v>
      </c>
      <c r="D32" s="34"/>
      <c r="E32" s="34" t="s">
        <v>16</v>
      </c>
      <c r="F32" s="34" t="s">
        <v>28</v>
      </c>
      <c r="G32" s="38" t="s">
        <v>47</v>
      </c>
      <c r="H32" s="39" t="s">
        <v>31</v>
      </c>
      <c r="I32" s="105">
        <v>49</v>
      </c>
      <c r="J32" s="56"/>
      <c r="K32" s="42">
        <f>I32*J32</f>
        <v>0</v>
      </c>
      <c r="L32" s="43"/>
      <c r="M32" s="43"/>
      <c r="N32" s="44"/>
      <c r="O32" s="44"/>
    </row>
    <row r="33" spans="1:15" s="45" customFormat="1" hidden="1" x14ac:dyDescent="0.25">
      <c r="A33" s="17">
        <v>36</v>
      </c>
      <c r="B33" s="39">
        <v>6364</v>
      </c>
      <c r="C33" s="39" t="s">
        <v>24</v>
      </c>
      <c r="D33" s="39"/>
      <c r="E33" s="39" t="s">
        <v>16</v>
      </c>
      <c r="F33" s="39" t="s">
        <v>28</v>
      </c>
      <c r="G33" s="38" t="s">
        <v>48</v>
      </c>
      <c r="H33" s="39" t="s">
        <v>30</v>
      </c>
      <c r="I33" s="105">
        <v>4</v>
      </c>
      <c r="J33" s="59"/>
      <c r="K33" s="37">
        <f>I33*J33</f>
        <v>0</v>
      </c>
      <c r="L33" s="43"/>
      <c r="M33" s="43"/>
      <c r="N33" s="44"/>
      <c r="O33" s="44"/>
    </row>
    <row r="34" spans="1:15" s="45" customFormat="1" x14ac:dyDescent="0.25">
      <c r="A34" s="52"/>
      <c r="B34" s="53"/>
      <c r="C34" s="53"/>
      <c r="D34" s="53"/>
      <c r="E34" s="53"/>
      <c r="F34" s="53"/>
      <c r="G34" s="54" t="s">
        <v>33</v>
      </c>
      <c r="H34" s="53"/>
      <c r="I34" s="104">
        <v>1</v>
      </c>
      <c r="J34" s="55"/>
      <c r="K34" s="51"/>
      <c r="L34" s="43"/>
      <c r="M34" s="43"/>
      <c r="N34" s="44"/>
      <c r="O34" s="44"/>
    </row>
    <row r="35" spans="1:15" s="45" customFormat="1" ht="20.25" customHeight="1" x14ac:dyDescent="0.25">
      <c r="A35" s="17">
        <v>18</v>
      </c>
      <c r="B35" s="39">
        <v>6605</v>
      </c>
      <c r="C35" s="39" t="s">
        <v>24</v>
      </c>
      <c r="D35" s="39"/>
      <c r="E35" s="39" t="s">
        <v>16</v>
      </c>
      <c r="F35" s="39" t="s">
        <v>57</v>
      </c>
      <c r="G35" s="38" t="s">
        <v>79</v>
      </c>
      <c r="H35" s="39" t="s">
        <v>18</v>
      </c>
      <c r="I35" s="99">
        <v>1</v>
      </c>
      <c r="J35" s="59"/>
      <c r="K35" s="37">
        <f>I35*J35</f>
        <v>0</v>
      </c>
      <c r="L35" s="43"/>
      <c r="M35" s="43"/>
      <c r="N35" s="44"/>
      <c r="O35" s="44"/>
    </row>
    <row r="36" spans="1:15" s="45" customFormat="1" ht="22.5" customHeight="1" x14ac:dyDescent="0.25">
      <c r="A36" s="16">
        <v>19</v>
      </c>
      <c r="B36" s="34"/>
      <c r="C36" s="34"/>
      <c r="D36" s="34"/>
      <c r="E36" s="34"/>
      <c r="F36" s="34" t="s">
        <v>57</v>
      </c>
      <c r="G36" s="40" t="s">
        <v>58</v>
      </c>
      <c r="H36" s="34" t="s">
        <v>18</v>
      </c>
      <c r="I36" s="100">
        <v>1</v>
      </c>
      <c r="J36" s="56"/>
      <c r="K36" s="37">
        <f>I36*J36</f>
        <v>0</v>
      </c>
      <c r="L36" s="43"/>
      <c r="M36" s="43"/>
      <c r="N36" s="44"/>
      <c r="O36" s="44"/>
    </row>
    <row r="37" spans="1:15" s="45" customFormat="1" x14ac:dyDescent="0.25">
      <c r="A37" s="52"/>
      <c r="B37" s="53"/>
      <c r="C37" s="53"/>
      <c r="D37" s="53"/>
      <c r="E37" s="53"/>
      <c r="F37" s="53"/>
      <c r="G37" s="54" t="s">
        <v>34</v>
      </c>
      <c r="H37" s="53"/>
      <c r="I37" s="104">
        <v>1</v>
      </c>
      <c r="J37" s="55"/>
      <c r="K37" s="51"/>
      <c r="L37" s="43"/>
      <c r="M37" s="43"/>
      <c r="N37" s="44"/>
      <c r="O37" s="44"/>
    </row>
    <row r="38" spans="1:15" s="45" customFormat="1" ht="24.95" customHeight="1" x14ac:dyDescent="0.25">
      <c r="A38" s="16">
        <v>20</v>
      </c>
      <c r="B38" s="34">
        <v>6367</v>
      </c>
      <c r="C38" s="34" t="s">
        <v>29</v>
      </c>
      <c r="D38" s="34"/>
      <c r="E38" s="34" t="s">
        <v>16</v>
      </c>
      <c r="F38" s="34" t="s">
        <v>25</v>
      </c>
      <c r="G38" s="38" t="s">
        <v>86</v>
      </c>
      <c r="H38" s="39" t="s">
        <v>30</v>
      </c>
      <c r="I38" s="99">
        <v>4</v>
      </c>
      <c r="J38" s="56"/>
      <c r="K38" s="42">
        <f>I38*J38</f>
        <v>0</v>
      </c>
      <c r="L38" s="43"/>
      <c r="M38" s="43"/>
      <c r="N38" s="44"/>
      <c r="O38" s="44"/>
    </row>
    <row r="39" spans="1:15" s="45" customFormat="1" x14ac:dyDescent="0.25">
      <c r="A39" s="52"/>
      <c r="B39" s="53"/>
      <c r="C39" s="53"/>
      <c r="D39" s="53"/>
      <c r="E39" s="53"/>
      <c r="F39" s="60"/>
      <c r="G39" s="61" t="s">
        <v>55</v>
      </c>
      <c r="H39" s="60"/>
      <c r="I39" s="104">
        <v>1</v>
      </c>
      <c r="J39" s="55"/>
      <c r="K39" s="51"/>
      <c r="L39" s="43"/>
      <c r="M39" s="43"/>
      <c r="N39" s="44"/>
      <c r="O39" s="44"/>
    </row>
    <row r="40" spans="1:15" s="45" customFormat="1" x14ac:dyDescent="0.25">
      <c r="A40" s="16">
        <v>21</v>
      </c>
      <c r="B40" s="34">
        <v>6364</v>
      </c>
      <c r="C40" s="34" t="s">
        <v>29</v>
      </c>
      <c r="D40" s="34"/>
      <c r="E40" s="34" t="s">
        <v>16</v>
      </c>
      <c r="F40" s="39" t="s">
        <v>56</v>
      </c>
      <c r="G40" s="62" t="s">
        <v>75</v>
      </c>
      <c r="H40" s="39" t="s">
        <v>18</v>
      </c>
      <c r="I40" s="101">
        <v>1</v>
      </c>
      <c r="J40" s="56"/>
      <c r="K40" s="42">
        <f>I40*J40</f>
        <v>0</v>
      </c>
      <c r="L40" s="43"/>
      <c r="M40" s="43"/>
      <c r="N40" s="44"/>
      <c r="O40" s="44"/>
    </row>
    <row r="41" spans="1:15" s="45" customFormat="1" x14ac:dyDescent="0.25">
      <c r="A41" s="16">
        <v>22</v>
      </c>
      <c r="B41" s="34">
        <v>6364</v>
      </c>
      <c r="C41" s="34" t="s">
        <v>29</v>
      </c>
      <c r="D41" s="34"/>
      <c r="E41" s="34" t="s">
        <v>16</v>
      </c>
      <c r="F41" s="39" t="s">
        <v>56</v>
      </c>
      <c r="G41" s="62" t="s">
        <v>76</v>
      </c>
      <c r="H41" s="39" t="s">
        <v>18</v>
      </c>
      <c r="I41" s="101">
        <v>1</v>
      </c>
      <c r="J41" s="56"/>
      <c r="K41" s="42">
        <f>I41*J41</f>
        <v>0</v>
      </c>
      <c r="L41" s="43"/>
      <c r="M41" s="43"/>
      <c r="N41" s="44"/>
      <c r="O41" s="44"/>
    </row>
    <row r="42" spans="1:15" s="45" customFormat="1" x14ac:dyDescent="0.25">
      <c r="A42" s="16">
        <v>23</v>
      </c>
      <c r="B42" s="39">
        <v>6364</v>
      </c>
      <c r="C42" s="39" t="s">
        <v>24</v>
      </c>
      <c r="D42" s="39"/>
      <c r="E42" s="39" t="s">
        <v>16</v>
      </c>
      <c r="F42" s="39" t="s">
        <v>56</v>
      </c>
      <c r="G42" s="62" t="s">
        <v>77</v>
      </c>
      <c r="H42" s="39" t="s">
        <v>18</v>
      </c>
      <c r="I42" s="102">
        <v>1</v>
      </c>
      <c r="J42" s="59"/>
      <c r="K42" s="37">
        <f>I42*J42</f>
        <v>0</v>
      </c>
      <c r="L42" s="43"/>
      <c r="M42" s="43"/>
      <c r="N42" s="44"/>
      <c r="O42" s="44"/>
    </row>
    <row r="43" spans="1:15" s="45" customFormat="1" x14ac:dyDescent="0.25">
      <c r="A43" s="16">
        <v>24</v>
      </c>
      <c r="B43" s="39"/>
      <c r="C43" s="39"/>
      <c r="D43" s="39"/>
      <c r="E43" s="39" t="s">
        <v>16</v>
      </c>
      <c r="F43" s="39" t="s">
        <v>56</v>
      </c>
      <c r="G43" s="62" t="s">
        <v>78</v>
      </c>
      <c r="H43" s="39" t="s">
        <v>18</v>
      </c>
      <c r="I43" s="102">
        <v>1</v>
      </c>
      <c r="J43" s="59"/>
      <c r="K43" s="37">
        <f>I43*J43</f>
        <v>0</v>
      </c>
      <c r="L43" s="43"/>
      <c r="M43" s="43"/>
      <c r="N43" s="44"/>
      <c r="O43" s="44"/>
    </row>
    <row r="44" spans="1:15" s="45" customFormat="1" x14ac:dyDescent="0.25">
      <c r="A44" s="63"/>
      <c r="B44" s="60"/>
      <c r="C44" s="60"/>
      <c r="D44" s="60"/>
      <c r="E44" s="60"/>
      <c r="F44" s="60"/>
      <c r="G44" s="61" t="s">
        <v>44</v>
      </c>
      <c r="H44" s="60"/>
      <c r="I44" s="97"/>
      <c r="J44" s="64"/>
      <c r="K44" s="33"/>
      <c r="L44" s="43"/>
      <c r="M44" s="43"/>
      <c r="N44" s="44"/>
      <c r="O44" s="44"/>
    </row>
    <row r="45" spans="1:15" s="45" customFormat="1" ht="45" x14ac:dyDescent="0.25">
      <c r="A45" s="17">
        <v>25</v>
      </c>
      <c r="B45" s="39"/>
      <c r="C45" s="39"/>
      <c r="D45" s="39"/>
      <c r="E45" s="39" t="s">
        <v>16</v>
      </c>
      <c r="F45" s="39" t="s">
        <v>44</v>
      </c>
      <c r="G45" s="38" t="s">
        <v>49</v>
      </c>
      <c r="H45" s="39" t="s">
        <v>30</v>
      </c>
      <c r="I45" s="99">
        <v>1</v>
      </c>
      <c r="J45" s="59"/>
      <c r="K45" s="37">
        <f>I45*J45</f>
        <v>0</v>
      </c>
      <c r="L45" s="43"/>
      <c r="M45" s="43"/>
      <c r="N45" s="44"/>
      <c r="O45" s="44"/>
    </row>
    <row r="46" spans="1:15" s="45" customFormat="1" x14ac:dyDescent="0.25">
      <c r="A46" s="52"/>
      <c r="B46" s="53"/>
      <c r="C46" s="53"/>
      <c r="D46" s="53"/>
      <c r="E46" s="53"/>
      <c r="F46" s="60"/>
      <c r="G46" s="61" t="s">
        <v>28</v>
      </c>
      <c r="H46" s="60"/>
      <c r="I46" s="97">
        <v>1</v>
      </c>
      <c r="J46" s="64"/>
      <c r="K46" s="51"/>
      <c r="L46" s="43"/>
      <c r="M46" s="43"/>
      <c r="N46" s="44"/>
      <c r="O46" s="44"/>
    </row>
    <row r="47" spans="1:15" s="45" customFormat="1" ht="38.25" customHeight="1" x14ac:dyDescent="0.25">
      <c r="A47" s="16">
        <v>26</v>
      </c>
      <c r="B47" s="34"/>
      <c r="C47" s="34"/>
      <c r="D47" s="34"/>
      <c r="E47" s="34"/>
      <c r="F47" s="65" t="s">
        <v>28</v>
      </c>
      <c r="G47" s="66" t="s">
        <v>82</v>
      </c>
      <c r="H47" s="90" t="s">
        <v>69</v>
      </c>
      <c r="I47" s="106">
        <v>1</v>
      </c>
      <c r="J47" s="67"/>
      <c r="K47" s="37">
        <f>I47*J47</f>
        <v>0</v>
      </c>
      <c r="L47" s="43"/>
      <c r="M47" s="43"/>
      <c r="N47" s="44"/>
      <c r="O47" s="44"/>
    </row>
    <row r="48" spans="1:15" s="45" customFormat="1" ht="26.25" customHeight="1" x14ac:dyDescent="0.25">
      <c r="A48" s="16">
        <v>27</v>
      </c>
      <c r="B48" s="34"/>
      <c r="C48" s="34"/>
      <c r="D48" s="34"/>
      <c r="E48" s="34"/>
      <c r="F48" s="34" t="s">
        <v>28</v>
      </c>
      <c r="G48" s="68" t="s">
        <v>70</v>
      </c>
      <c r="H48" s="91" t="s">
        <v>18</v>
      </c>
      <c r="I48" s="107">
        <v>1</v>
      </c>
      <c r="J48" s="56"/>
      <c r="K48" s="37">
        <f>I48*J48</f>
        <v>0</v>
      </c>
      <c r="L48" s="43"/>
      <c r="M48" s="43"/>
      <c r="N48" s="44"/>
      <c r="O48" s="44"/>
    </row>
    <row r="49" spans="1:15" s="45" customFormat="1" x14ac:dyDescent="0.25">
      <c r="A49" s="52"/>
      <c r="B49" s="53"/>
      <c r="C49" s="53"/>
      <c r="D49" s="53"/>
      <c r="E49" s="53"/>
      <c r="F49" s="53"/>
      <c r="G49" s="54" t="s">
        <v>35</v>
      </c>
      <c r="H49" s="53"/>
      <c r="I49" s="104">
        <v>1</v>
      </c>
      <c r="J49" s="55"/>
      <c r="K49" s="51"/>
      <c r="L49" s="43"/>
      <c r="M49" s="43"/>
      <c r="N49" s="44"/>
      <c r="O49" s="44"/>
    </row>
    <row r="50" spans="1:15" s="45" customFormat="1" ht="52.5" customHeight="1" x14ac:dyDescent="0.25">
      <c r="A50" s="16">
        <v>28</v>
      </c>
      <c r="B50" s="34">
        <v>6303</v>
      </c>
      <c r="C50" s="41"/>
      <c r="D50" s="41"/>
      <c r="E50" s="34" t="s">
        <v>16</v>
      </c>
      <c r="F50" s="34" t="s">
        <v>17</v>
      </c>
      <c r="G50" s="40" t="s">
        <v>87</v>
      </c>
      <c r="H50" s="34" t="s">
        <v>18</v>
      </c>
      <c r="I50" s="101">
        <v>1</v>
      </c>
      <c r="J50" s="93"/>
      <c r="K50" s="42">
        <f>I50*J50</f>
        <v>0</v>
      </c>
      <c r="L50" s="43"/>
      <c r="M50" s="43"/>
      <c r="N50" s="44"/>
      <c r="O50" s="44"/>
    </row>
    <row r="51" spans="1:15" s="45" customFormat="1" ht="36" customHeight="1" x14ac:dyDescent="0.25">
      <c r="A51" s="16">
        <v>29</v>
      </c>
      <c r="B51" s="39">
        <v>6303</v>
      </c>
      <c r="C51" s="46"/>
      <c r="D51" s="46"/>
      <c r="E51" s="39" t="s">
        <v>16</v>
      </c>
      <c r="F51" s="39" t="s">
        <v>17</v>
      </c>
      <c r="G51" s="38" t="s">
        <v>36</v>
      </c>
      <c r="H51" s="39" t="s">
        <v>18</v>
      </c>
      <c r="I51" s="102">
        <v>1</v>
      </c>
      <c r="J51" s="59"/>
      <c r="K51" s="37">
        <f>I51*J51</f>
        <v>0</v>
      </c>
      <c r="L51" s="43"/>
      <c r="M51" s="43"/>
      <c r="N51" s="44"/>
      <c r="O51" s="44"/>
    </row>
    <row r="52" spans="1:15" s="45" customFormat="1" ht="39.75" customHeight="1" x14ac:dyDescent="0.25">
      <c r="A52" s="16">
        <v>30</v>
      </c>
      <c r="B52" s="39">
        <v>6303</v>
      </c>
      <c r="C52" s="46"/>
      <c r="D52" s="46"/>
      <c r="E52" s="39" t="s">
        <v>16</v>
      </c>
      <c r="F52" s="39" t="s">
        <v>17</v>
      </c>
      <c r="G52" s="38" t="s">
        <v>37</v>
      </c>
      <c r="H52" s="39" t="s">
        <v>18</v>
      </c>
      <c r="I52" s="102">
        <v>1</v>
      </c>
      <c r="J52" s="59"/>
      <c r="K52" s="37">
        <f>I52*J52</f>
        <v>0</v>
      </c>
      <c r="L52" s="43"/>
      <c r="M52" s="43"/>
      <c r="N52" s="44"/>
      <c r="O52" s="44"/>
    </row>
    <row r="53" spans="1:15" s="45" customFormat="1" ht="24" customHeight="1" x14ac:dyDescent="0.25">
      <c r="A53" s="16"/>
      <c r="B53" s="15"/>
      <c r="C53" s="39"/>
      <c r="D53" s="39"/>
      <c r="E53" s="15"/>
      <c r="F53" s="15"/>
      <c r="G53" s="69" t="s">
        <v>39</v>
      </c>
      <c r="H53" s="15"/>
      <c r="I53" s="108"/>
      <c r="J53" s="58"/>
      <c r="K53" s="70">
        <f>SUM(K8:K52)</f>
        <v>0</v>
      </c>
      <c r="L53" s="43"/>
      <c r="M53" s="43"/>
      <c r="N53" s="44"/>
      <c r="O53" s="44"/>
    </row>
    <row r="54" spans="1:15" s="45" customFormat="1" x14ac:dyDescent="0.25">
      <c r="A54" s="52"/>
      <c r="B54" s="53"/>
      <c r="C54" s="53"/>
      <c r="D54" s="53"/>
      <c r="E54" s="53"/>
      <c r="F54" s="53"/>
      <c r="G54" s="54" t="s">
        <v>53</v>
      </c>
      <c r="H54" s="53"/>
      <c r="I54" s="104">
        <v>1</v>
      </c>
      <c r="J54" s="55"/>
      <c r="K54" s="51"/>
      <c r="L54" s="43"/>
      <c r="M54" s="43"/>
      <c r="N54" s="44"/>
      <c r="O54" s="44"/>
    </row>
    <row r="55" spans="1:15" s="45" customFormat="1" x14ac:dyDescent="0.25">
      <c r="A55" s="17">
        <v>31</v>
      </c>
      <c r="B55" s="39"/>
      <c r="C55" s="46"/>
      <c r="D55" s="46"/>
      <c r="E55" s="39"/>
      <c r="F55" s="39" t="s">
        <v>25</v>
      </c>
      <c r="G55" s="38" t="s">
        <v>65</v>
      </c>
      <c r="H55" s="39" t="s">
        <v>18</v>
      </c>
      <c r="I55" s="102">
        <v>1</v>
      </c>
      <c r="J55" s="37"/>
      <c r="K55" s="37">
        <f>I55*J55</f>
        <v>0</v>
      </c>
      <c r="L55" s="43"/>
      <c r="M55" s="43"/>
      <c r="N55" s="44"/>
      <c r="O55" s="44"/>
    </row>
    <row r="56" spans="1:15" s="45" customFormat="1" x14ac:dyDescent="0.25">
      <c r="A56" s="17">
        <v>32</v>
      </c>
      <c r="B56" s="71"/>
      <c r="C56" s="71"/>
      <c r="D56" s="71"/>
      <c r="E56" s="71"/>
      <c r="F56" s="39" t="s">
        <v>25</v>
      </c>
      <c r="G56" s="72" t="s">
        <v>59</v>
      </c>
      <c r="H56" s="39" t="s">
        <v>18</v>
      </c>
      <c r="I56" s="102">
        <v>1</v>
      </c>
      <c r="J56" s="95"/>
      <c r="K56" s="37">
        <f t="shared" ref="K56" si="2">I56*J56</f>
        <v>0</v>
      </c>
      <c r="L56" s="43"/>
      <c r="M56" s="43"/>
      <c r="N56" s="44"/>
      <c r="O56" s="44"/>
    </row>
    <row r="57" spans="1:15" s="45" customFormat="1" ht="24.75" customHeight="1" x14ac:dyDescent="0.25">
      <c r="A57" s="18"/>
      <c r="B57" s="7"/>
      <c r="C57" s="7"/>
      <c r="D57" s="7"/>
      <c r="E57" s="7"/>
      <c r="F57" s="73"/>
      <c r="G57" s="74" t="s">
        <v>68</v>
      </c>
      <c r="H57" s="39"/>
      <c r="I57" s="109"/>
      <c r="J57" s="62"/>
      <c r="K57" s="94">
        <f>SUM(K55:K56)</f>
        <v>0</v>
      </c>
      <c r="L57" s="43"/>
      <c r="M57" s="43"/>
      <c r="N57" s="44"/>
      <c r="O57" s="44"/>
    </row>
    <row r="58" spans="1:15" s="45" customFormat="1" x14ac:dyDescent="0.25">
      <c r="A58" s="52"/>
      <c r="B58" s="53"/>
      <c r="C58" s="53"/>
      <c r="D58" s="53"/>
      <c r="E58" s="53"/>
      <c r="F58" s="53"/>
      <c r="G58" s="54" t="s">
        <v>38</v>
      </c>
      <c r="H58" s="53"/>
      <c r="I58" s="104">
        <v>1</v>
      </c>
      <c r="J58" s="55"/>
      <c r="K58" s="51"/>
      <c r="L58" s="43"/>
      <c r="M58" s="43"/>
      <c r="N58" s="44"/>
      <c r="O58" s="44"/>
    </row>
    <row r="59" spans="1:15" s="45" customFormat="1" x14ac:dyDescent="0.25">
      <c r="A59" s="17"/>
      <c r="B59" s="39"/>
      <c r="C59" s="46"/>
      <c r="D59" s="46"/>
      <c r="E59" s="39"/>
      <c r="F59" s="39"/>
      <c r="G59" s="38"/>
      <c r="H59" s="39"/>
      <c r="I59" s="102"/>
      <c r="J59" s="37"/>
      <c r="K59" s="37">
        <f>I59*J59</f>
        <v>0</v>
      </c>
      <c r="L59" s="43"/>
      <c r="M59" s="43"/>
      <c r="N59" s="44"/>
      <c r="O59" s="44"/>
    </row>
    <row r="60" spans="1:15" s="45" customFormat="1" x14ac:dyDescent="0.25">
      <c r="A60" s="17"/>
      <c r="B60" s="71"/>
      <c r="C60" s="71"/>
      <c r="D60" s="71"/>
      <c r="E60" s="71"/>
      <c r="F60" s="76"/>
      <c r="G60" s="38"/>
      <c r="H60" s="39"/>
      <c r="I60" s="102"/>
      <c r="J60" s="62"/>
      <c r="K60" s="37">
        <f t="shared" ref="K60:K62" si="3">I60*J60</f>
        <v>0</v>
      </c>
      <c r="L60" s="43"/>
      <c r="M60" s="43"/>
      <c r="N60" s="44"/>
      <c r="O60" s="44"/>
    </row>
    <row r="61" spans="1:15" s="45" customFormat="1" x14ac:dyDescent="0.25">
      <c r="A61" s="17"/>
      <c r="B61" s="71"/>
      <c r="C61" s="71"/>
      <c r="D61" s="71"/>
      <c r="E61" s="71"/>
      <c r="F61" s="76"/>
      <c r="G61" s="72"/>
      <c r="H61" s="77"/>
      <c r="I61" s="110"/>
      <c r="J61" s="62"/>
      <c r="K61" s="37">
        <f t="shared" si="3"/>
        <v>0</v>
      </c>
      <c r="L61" s="43"/>
      <c r="M61" s="43"/>
      <c r="N61" s="44"/>
      <c r="O61" s="44"/>
    </row>
    <row r="62" spans="1:15" s="45" customFormat="1" x14ac:dyDescent="0.25">
      <c r="A62" s="78"/>
      <c r="B62" s="71"/>
      <c r="C62" s="71"/>
      <c r="D62" s="71"/>
      <c r="E62" s="71"/>
      <c r="F62" s="76"/>
      <c r="G62" s="79"/>
      <c r="H62" s="76"/>
      <c r="I62" s="110"/>
      <c r="J62" s="62"/>
      <c r="K62" s="37">
        <f t="shared" si="3"/>
        <v>0</v>
      </c>
      <c r="L62" s="43"/>
      <c r="M62" s="43"/>
      <c r="N62" s="44"/>
      <c r="O62" s="44"/>
    </row>
    <row r="63" spans="1:15" s="45" customFormat="1" ht="25.5" customHeight="1" x14ac:dyDescent="0.25">
      <c r="A63" s="18"/>
      <c r="B63" s="7"/>
      <c r="C63" s="7"/>
      <c r="D63" s="7"/>
      <c r="E63" s="7"/>
      <c r="F63" s="73"/>
      <c r="G63" s="74" t="s">
        <v>40</v>
      </c>
      <c r="H63" s="39"/>
      <c r="I63" s="109"/>
      <c r="J63" s="62"/>
      <c r="K63" s="75">
        <f>SUM(K59:K62)</f>
        <v>0</v>
      </c>
      <c r="L63" s="43"/>
      <c r="M63" s="43"/>
      <c r="N63" s="44"/>
      <c r="O63" s="44"/>
    </row>
    <row r="64" spans="1:15" s="45" customFormat="1" x14ac:dyDescent="0.25">
      <c r="A64" s="19"/>
      <c r="B64" s="14"/>
      <c r="C64" s="14"/>
      <c r="D64" s="14"/>
      <c r="E64" s="14"/>
      <c r="F64" s="80"/>
      <c r="G64" s="81"/>
      <c r="H64" s="80"/>
      <c r="I64" s="111"/>
      <c r="J64" s="82"/>
      <c r="K64" s="83"/>
      <c r="L64" s="43"/>
      <c r="M64" s="43"/>
      <c r="N64" s="44"/>
      <c r="O64" s="44"/>
    </row>
    <row r="65" spans="1:15" s="45" customFormat="1" ht="18" customHeight="1" x14ac:dyDescent="0.25">
      <c r="A65" s="20"/>
      <c r="B65" s="1"/>
      <c r="C65" s="1"/>
      <c r="D65" s="1"/>
      <c r="E65" s="1"/>
      <c r="F65" s="84"/>
      <c r="G65" s="2" t="s">
        <v>41</v>
      </c>
      <c r="H65" s="10"/>
      <c r="I65" s="131">
        <f>K53</f>
        <v>0</v>
      </c>
      <c r="J65" s="131"/>
      <c r="K65" s="131"/>
      <c r="L65" s="115"/>
      <c r="M65" s="115"/>
      <c r="N65" s="85"/>
      <c r="O65" s="44"/>
    </row>
    <row r="66" spans="1:15" s="45" customFormat="1" ht="18" customHeight="1" x14ac:dyDescent="0.25">
      <c r="A66" s="20"/>
      <c r="B66" s="1"/>
      <c r="C66" s="1"/>
      <c r="D66" s="1"/>
      <c r="E66" s="1"/>
      <c r="F66" s="84"/>
      <c r="G66" s="2" t="s">
        <v>66</v>
      </c>
      <c r="H66" s="10"/>
      <c r="I66" s="132">
        <f>K57</f>
        <v>0</v>
      </c>
      <c r="J66" s="132"/>
      <c r="K66" s="132"/>
      <c r="L66" s="115"/>
      <c r="M66" s="115"/>
      <c r="N66" s="85"/>
      <c r="O66" s="44"/>
    </row>
    <row r="67" spans="1:15" s="45" customFormat="1" ht="18" customHeight="1" x14ac:dyDescent="0.25">
      <c r="A67" s="20"/>
      <c r="B67" s="1"/>
      <c r="C67" s="1"/>
      <c r="D67" s="1"/>
      <c r="E67" s="1"/>
      <c r="F67" s="84"/>
      <c r="G67" s="2" t="s">
        <v>67</v>
      </c>
      <c r="H67" s="10"/>
      <c r="I67" s="132">
        <f>K63</f>
        <v>0</v>
      </c>
      <c r="J67" s="132"/>
      <c r="K67" s="132"/>
      <c r="L67" s="43"/>
      <c r="M67" s="43"/>
      <c r="N67" s="85"/>
      <c r="O67" s="44"/>
    </row>
    <row r="68" spans="1:15" s="45" customFormat="1" ht="18" customHeight="1" x14ac:dyDescent="0.25">
      <c r="A68" s="20"/>
      <c r="B68" s="1"/>
      <c r="C68" s="1"/>
      <c r="D68" s="1"/>
      <c r="E68" s="1"/>
      <c r="F68" s="84"/>
      <c r="G68" s="2" t="s">
        <v>42</v>
      </c>
      <c r="H68" s="10"/>
      <c r="I68" s="133">
        <f>SUM(I65:K67)</f>
        <v>0</v>
      </c>
      <c r="J68" s="133"/>
      <c r="K68" s="133"/>
      <c r="L68" s="43"/>
      <c r="M68" s="43"/>
      <c r="N68" s="85"/>
      <c r="O68" s="44"/>
    </row>
    <row r="69" spans="1:15" s="45" customFormat="1" ht="18" customHeight="1" thickBot="1" x14ac:dyDescent="0.3">
      <c r="A69" s="20"/>
      <c r="B69" s="1"/>
      <c r="C69" s="1"/>
      <c r="D69" s="1"/>
      <c r="E69" s="1"/>
      <c r="F69" s="84"/>
      <c r="G69" s="2" t="s">
        <v>4</v>
      </c>
      <c r="H69" s="11"/>
      <c r="I69" s="134">
        <f>+I68*0.1</f>
        <v>0</v>
      </c>
      <c r="J69" s="134"/>
      <c r="K69" s="134"/>
      <c r="L69" s="43"/>
      <c r="M69" s="43"/>
      <c r="N69" s="85"/>
      <c r="O69" s="44"/>
    </row>
    <row r="70" spans="1:15" s="45" customFormat="1" ht="18" customHeight="1" thickBot="1" x14ac:dyDescent="0.3">
      <c r="A70" s="20"/>
      <c r="B70" s="1"/>
      <c r="C70" s="1"/>
      <c r="D70" s="1"/>
      <c r="E70" s="1"/>
      <c r="F70" s="84"/>
      <c r="G70" s="2" t="s">
        <v>5</v>
      </c>
      <c r="H70" s="11"/>
      <c r="I70" s="135">
        <f>+I68+I69</f>
        <v>0</v>
      </c>
      <c r="J70" s="135"/>
      <c r="K70" s="135"/>
      <c r="L70" s="43"/>
      <c r="M70" s="43"/>
      <c r="N70" s="85"/>
      <c r="O70" s="44"/>
    </row>
    <row r="71" spans="1:15" s="45" customFormat="1" ht="8.25" customHeight="1" thickTop="1" x14ac:dyDescent="0.25">
      <c r="A71" s="20"/>
      <c r="B71" s="1"/>
      <c r="C71" s="1"/>
      <c r="D71" s="1"/>
      <c r="E71" s="1"/>
      <c r="F71" s="84"/>
      <c r="G71" s="86"/>
      <c r="H71" s="11"/>
      <c r="I71" s="112"/>
      <c r="J71" s="86"/>
      <c r="L71" s="115"/>
      <c r="M71" s="115"/>
      <c r="N71" s="85"/>
      <c r="O71" s="44"/>
    </row>
    <row r="72" spans="1:15" s="45" customFormat="1" ht="34.5" customHeight="1" x14ac:dyDescent="0.25">
      <c r="A72" s="128" t="s">
        <v>10</v>
      </c>
      <c r="B72" s="128"/>
      <c r="C72" s="128"/>
      <c r="D72" s="128"/>
      <c r="E72" s="128"/>
      <c r="F72" s="129"/>
      <c r="G72" s="129"/>
      <c r="H72" s="129"/>
      <c r="I72" s="129"/>
      <c r="J72" s="129"/>
      <c r="K72" s="130"/>
      <c r="L72" s="127"/>
      <c r="M72" s="127"/>
      <c r="N72" s="44"/>
      <c r="O72" s="44"/>
    </row>
    <row r="73" spans="1:15" s="45" customFormat="1" ht="14.25" customHeight="1" x14ac:dyDescent="0.25">
      <c r="A73" s="20"/>
      <c r="B73" s="1"/>
      <c r="C73" s="1"/>
      <c r="D73" s="1"/>
      <c r="E73" s="1"/>
      <c r="F73" s="9"/>
      <c r="G73" s="9"/>
      <c r="H73" s="12"/>
      <c r="I73" s="113"/>
      <c r="J73" s="9"/>
      <c r="L73" s="127"/>
      <c r="M73" s="127"/>
      <c r="N73" s="44"/>
      <c r="O73" s="44"/>
    </row>
    <row r="74" spans="1:15" s="45" customFormat="1" ht="14.25" customHeight="1" x14ac:dyDescent="0.25">
      <c r="A74" s="20"/>
      <c r="B74" s="1"/>
      <c r="C74" s="1"/>
      <c r="D74" s="1"/>
      <c r="E74" s="1"/>
      <c r="F74" s="9"/>
      <c r="G74" s="9"/>
      <c r="H74" s="12"/>
      <c r="I74" s="113"/>
      <c r="J74" s="9"/>
      <c r="L74" s="115"/>
      <c r="M74" s="115"/>
      <c r="N74" s="85"/>
      <c r="O74" s="44"/>
    </row>
    <row r="75" spans="1:15" s="45" customFormat="1" x14ac:dyDescent="0.25">
      <c r="A75" s="20"/>
      <c r="B75" s="1"/>
      <c r="C75" s="1"/>
      <c r="D75" s="1"/>
      <c r="E75" s="1"/>
      <c r="F75" s="9"/>
      <c r="G75" s="9"/>
      <c r="H75" s="12"/>
      <c r="I75" s="113"/>
      <c r="J75" s="9"/>
      <c r="L75" s="127"/>
      <c r="M75" s="127"/>
      <c r="N75" s="44"/>
      <c r="O75" s="44"/>
    </row>
    <row r="76" spans="1:15" s="45" customFormat="1" x14ac:dyDescent="0.25">
      <c r="A76" s="20"/>
      <c r="B76" s="1"/>
      <c r="C76" s="1"/>
      <c r="D76" s="1"/>
      <c r="E76" s="1"/>
      <c r="F76" s="9"/>
      <c r="G76" s="9"/>
      <c r="H76" s="12"/>
      <c r="I76" s="113"/>
      <c r="J76" s="9"/>
      <c r="L76" s="115"/>
      <c r="M76" s="115"/>
      <c r="N76" s="44"/>
      <c r="O76" s="44"/>
    </row>
    <row r="77" spans="1:15" s="45" customFormat="1" ht="14.25" customHeight="1" x14ac:dyDescent="0.25">
      <c r="A77" s="20"/>
      <c r="B77" s="1"/>
      <c r="C77" s="1"/>
      <c r="D77" s="1"/>
      <c r="E77" s="1"/>
      <c r="F77" s="9"/>
      <c r="G77" s="9"/>
      <c r="H77" s="12"/>
      <c r="I77" s="113"/>
      <c r="J77" s="9"/>
      <c r="L77" s="115"/>
      <c r="M77" s="115"/>
      <c r="N77" s="85"/>
      <c r="O77" s="44"/>
    </row>
    <row r="78" spans="1:15" s="45" customFormat="1" x14ac:dyDescent="0.25">
      <c r="A78" s="20"/>
      <c r="B78" s="1"/>
      <c r="C78" s="1"/>
      <c r="D78" s="1"/>
      <c r="E78" s="1"/>
      <c r="F78" s="9"/>
      <c r="G78" s="9"/>
      <c r="H78" s="12"/>
      <c r="I78" s="113"/>
      <c r="J78" s="9"/>
      <c r="L78" s="127"/>
      <c r="M78" s="127"/>
      <c r="N78" s="44"/>
      <c r="O78" s="44"/>
    </row>
    <row r="79" spans="1:15" s="45" customFormat="1" x14ac:dyDescent="0.25">
      <c r="A79" s="20"/>
      <c r="B79" s="1"/>
      <c r="C79" s="1"/>
      <c r="D79" s="1"/>
      <c r="E79" s="1"/>
      <c r="F79" s="9"/>
      <c r="G79" s="9"/>
      <c r="H79" s="12"/>
      <c r="I79" s="113"/>
      <c r="J79" s="9"/>
      <c r="L79" s="115"/>
      <c r="M79" s="115"/>
      <c r="N79" s="44"/>
      <c r="O79" s="44"/>
    </row>
    <row r="80" spans="1:15" s="45" customFormat="1" ht="14.25" customHeight="1" x14ac:dyDescent="0.25">
      <c r="A80" s="20"/>
      <c r="B80" s="1"/>
      <c r="C80" s="1"/>
      <c r="D80" s="1"/>
      <c r="E80" s="1"/>
      <c r="F80" s="9"/>
      <c r="G80" s="9"/>
      <c r="H80" s="12"/>
      <c r="I80" s="113"/>
      <c r="J80" s="9"/>
      <c r="L80" s="115"/>
      <c r="M80" s="115"/>
      <c r="N80" s="85"/>
      <c r="O80" s="44"/>
    </row>
    <row r="81" spans="1:15" s="45" customFormat="1" x14ac:dyDescent="0.25">
      <c r="A81" s="20"/>
      <c r="B81" s="1"/>
      <c r="C81" s="1"/>
      <c r="D81" s="1"/>
      <c r="E81" s="1"/>
      <c r="F81" s="9"/>
      <c r="G81" s="9"/>
      <c r="H81" s="12"/>
      <c r="I81" s="113"/>
      <c r="J81" s="9"/>
      <c r="L81" s="127"/>
      <c r="M81" s="127"/>
      <c r="N81" s="44"/>
      <c r="O81" s="44"/>
    </row>
    <row r="82" spans="1:15" s="45" customFormat="1" x14ac:dyDescent="0.25">
      <c r="A82" s="20"/>
      <c r="B82" s="1"/>
      <c r="C82" s="1"/>
      <c r="D82" s="1"/>
      <c r="E82" s="1"/>
      <c r="F82" s="9"/>
      <c r="G82" s="9"/>
      <c r="H82" s="12"/>
      <c r="I82" s="113"/>
      <c r="J82" s="9"/>
      <c r="L82" s="115"/>
      <c r="M82" s="115"/>
      <c r="N82" s="44"/>
      <c r="O82" s="44"/>
    </row>
    <row r="83" spans="1:15" x14ac:dyDescent="0.25">
      <c r="A83" s="20"/>
      <c r="B83" s="1"/>
      <c r="C83" s="1"/>
      <c r="D83" s="1"/>
      <c r="E83" s="1"/>
    </row>
    <row r="84" spans="1:15" x14ac:dyDescent="0.25">
      <c r="A84" s="20"/>
      <c r="B84" s="87"/>
      <c r="C84" s="87"/>
      <c r="D84" s="87"/>
      <c r="E84" s="87"/>
    </row>
    <row r="85" spans="1:15" x14ac:dyDescent="0.25">
      <c r="A85" s="20"/>
      <c r="B85" s="87"/>
      <c r="C85" s="87"/>
      <c r="D85" s="87"/>
      <c r="E85" s="87"/>
    </row>
    <row r="86" spans="1:15" x14ac:dyDescent="0.25">
      <c r="A86" s="20"/>
      <c r="B86" s="87"/>
      <c r="C86" s="87"/>
      <c r="D86" s="87"/>
      <c r="E86" s="87"/>
    </row>
    <row r="87" spans="1:15" x14ac:dyDescent="0.25">
      <c r="A87" s="20"/>
      <c r="B87" s="87"/>
      <c r="C87" s="87"/>
      <c r="D87" s="87"/>
      <c r="E87" s="87"/>
    </row>
    <row r="89" spans="1:15" x14ac:dyDescent="0.25">
      <c r="A89" s="20"/>
      <c r="B89" s="87"/>
      <c r="C89" s="87"/>
      <c r="D89" s="87"/>
      <c r="E89" s="87"/>
    </row>
    <row r="90" spans="1:15" x14ac:dyDescent="0.25">
      <c r="B90" s="45"/>
      <c r="C90" s="45"/>
      <c r="D90" s="45"/>
      <c r="E90" s="45"/>
    </row>
    <row r="91" spans="1:15" x14ac:dyDescent="0.25">
      <c r="B91" s="45"/>
      <c r="C91" s="45"/>
      <c r="D91" s="45"/>
      <c r="E91" s="45"/>
    </row>
    <row r="92" spans="1:15" ht="15" customHeight="1" x14ac:dyDescent="0.25"/>
    <row r="93" spans="1:15" ht="15" customHeight="1" x14ac:dyDescent="0.25"/>
    <row r="94" spans="1:15" ht="15" customHeight="1" x14ac:dyDescent="0.25"/>
    <row r="95" spans="1:15" ht="15" customHeight="1" x14ac:dyDescent="0.25"/>
    <row r="96" spans="1:15" x14ac:dyDescent="0.25">
      <c r="B96" s="89"/>
      <c r="C96" s="89"/>
      <c r="D96" s="89"/>
      <c r="E96" s="89"/>
    </row>
  </sheetData>
  <mergeCells count="28">
    <mergeCell ref="L76:M76"/>
    <mergeCell ref="A72:K72"/>
    <mergeCell ref="I65:K65"/>
    <mergeCell ref="I66:K66"/>
    <mergeCell ref="L73:M73"/>
    <mergeCell ref="L74:M74"/>
    <mergeCell ref="L75:M75"/>
    <mergeCell ref="L71:M71"/>
    <mergeCell ref="L72:M72"/>
    <mergeCell ref="I68:K68"/>
    <mergeCell ref="I69:K69"/>
    <mergeCell ref="I70:K70"/>
    <mergeCell ref="I67:K67"/>
    <mergeCell ref="L82:M82"/>
    <mergeCell ref="L77:M77"/>
    <mergeCell ref="L78:M78"/>
    <mergeCell ref="L79:M79"/>
    <mergeCell ref="L80:M80"/>
    <mergeCell ref="L81:M81"/>
    <mergeCell ref="A5:K5"/>
    <mergeCell ref="L66:M66"/>
    <mergeCell ref="L65:M65"/>
    <mergeCell ref="A1:K1"/>
    <mergeCell ref="A4:G4"/>
    <mergeCell ref="H4:I4"/>
    <mergeCell ref="J4:K4"/>
    <mergeCell ref="F2:K2"/>
    <mergeCell ref="F3:K3"/>
  </mergeCells>
  <phoneticPr fontId="2" type="noConversion"/>
  <dataValidations count="2">
    <dataValidation type="list" allowBlank="1" showInputMessage="1" showErrorMessage="1" sqref="E19" xr:uid="{A589B9A6-A339-40C8-B961-07B74DACA641}">
      <formula1>CapitalvOperational</formula1>
    </dataValidation>
    <dataValidation type="list" allowBlank="1" showInputMessage="1" showErrorMessage="1" sqref="F19" xr:uid="{27F941AF-5979-4D02-BB22-A9B9A37326D2}">
      <formula1>Asset_Description</formula1>
    </dataValidation>
  </dataValidations>
  <pageMargins left="0.6692913385826772" right="0" top="0.43307086614173229" bottom="0.27559055118110237" header="0.51181102362204722" footer="0.51181102362204722"/>
  <pageSetup paperSize="9" scale="63" fitToHeight="0" orientation="portrait" r:id="rId1"/>
  <headerFooter alignWithMargins="0">
    <oddFooter xml:space="preserve">&amp;L&amp;8
&amp;F
(Updated: 9 December 2009)
</oddFooter>
  </headerFooter>
  <drawing r:id="rId2"/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.xml" Id="Rd3c4172d526e4b2384ade4b889302c76" /></Relationships>
</file>

<file path=customXML/item3.xml><?xml version="1.0" encoding="utf-8"?>
<metadata xmlns="http://www.objective.com/ecm/document/metadata/2ED628D542C6441E9652AB1B73553238" version="1.0.0">
  <systemFields>
    <field name="Objective-Id">
      <value order="0">A13318240</value>
    </field>
    <field name="Objective-Title">
      <value order="0">PDG-20842-1 Bill of Quantities</value>
    </field>
    <field name="Objective-Description">
      <value order="0"/>
    </field>
    <field name="Objective-CreationStamp">
      <value order="0">2026-06-04T03:28:44Z</value>
    </field>
    <field name="Objective-IsApproved">
      <value order="0">false</value>
    </field>
    <field name="Objective-IsPublished">
      <value order="0">false</value>
    </field>
    <field name="Objective-DatePublished">
      <value order="0"/>
    </field>
    <field name="Objective-ModificationStamp">
      <value order="0">2026-06-25T00:18:50Z</value>
    </field>
    <field name="Objective-Owner">
      <value order="0">Kathy Rundle</value>
    </field>
    <field name="Objective-Path">
      <value order="0">Objective Global Folder:RCC File Plan:Council Services:Project Delivery:Tenders &amp; Contracts Unit:PDG-20842-1 CIP Skate Bowl Refurbishment Windemere Road Park, Alexandra Hills:02. Tender Documents</value>
    </field>
    <field name="Objective-Parent">
      <value order="0">02. Tender Documents</value>
    </field>
    <field name="Objective-State">
      <value order="0">Being Drafted</value>
    </field>
    <field name="Objective-VersionId">
      <value order="0">vA16893143</value>
    </field>
    <field name="Objective-Version">
      <value order="0">1.9</value>
    </field>
    <field name="Objective-VersionNumber">
      <value order="0">10</value>
    </field>
    <field name="Objective-VersionComment">
      <value order="0"/>
    </field>
    <field name="Objective-FileNumber">
      <value order="0">qA1842035</value>
    </field>
    <field name="Objective-Classification">
      <value order="0">Official</value>
    </field>
    <field name="Objective-Caveats">
      <value order="0"/>
    </field>
  </systemFields>
  <catalogues>
    <catalogue name="Correspondence Documents Type Catalogue" type="type" ori="id:cA6">
      <field name="Objective-Document Date">
        <value order="0"/>
      </field>
      <field name="Objective-Date Received">
        <value order="0"/>
      </field>
      <field name="Objective-Correspondence Received at">
        <value order="0"/>
      </field>
      <field name="Objective-Name Number">
        <value order="0">0</value>
      </field>
      <field name="Objective-Given Name">
        <value order="0"/>
      </field>
      <field name="Objective-Surname">
        <value order="0"/>
      </field>
      <field name="Objective-Business Name">
        <value order="0"/>
      </field>
      <field name="Objective-Address Line 1">
        <value order="0"/>
      </field>
      <field name="Objective-Address Line 2">
        <value order="0"/>
      </field>
      <field name="Objective-Address Line 3">
        <value order="0"/>
      </field>
      <field name="Objective-Connect Creator">
        <value order="0"/>
      </field>
      <field name="Objective-Record Type">
        <value order="0">Letter</value>
      </field>
      <field name="Objective-Organisation Responsible">
        <value order="0">Redland City Council</value>
      </field>
      <field name="Objective-Access Rights Scheme">
        <value order="0">May be Published</value>
      </field>
      <field name="Objective-Date Digitised">
        <value order="0"/>
      </field>
      <field name="Objective-Capture Device">
        <value order="0">Local Scanner</value>
      </field>
      <field name="Objective-Actor">
        <value order="0"/>
      </field>
      <field name="Objective-Event Types">
        <value order="0">Add</value>
      </field>
      <field name="Objective-Relationship Type">
        <value order="0">Record to Record</value>
      </field>
      <field name="Objective-Disposal Status">
        <value order="0">Temporary</value>
      </field>
      <field name="Objective-Disposal Notification">
        <value order="0"/>
      </field>
      <field name="Objective-Determination Date">
        <value order="0"/>
      </field>
      <field name="Objective-Disposal Review Date">
        <value order="0"/>
      </field>
      <field name="Objective-Record Category Type">
        <value order="0">Item</value>
      </field>
      <field name="Objective-Medium">
        <value order="0">Network Server</value>
      </field>
      <field name="Objective-Development.i Record Type">
        <value order="0"/>
      </field>
    </catalogue>
  </catalogues>
</metadata>
</file>

<file path=customXML/itemProps3.xml><?xml version="1.0" encoding="utf-8"?>
<ds:datastoreItem xmlns:ds="http://schemas.openxmlformats.org/officeDocument/2006/customXml" ds:itemID="{5745109E-2DDF-40CB-AC2B-FF9B10C90820}">
  <ds:schemaRefs>
    <ds:schemaRef ds:uri="http://www.objective.com/ecm/document/metadata/2ED628D542C6441E9652AB1B7355323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ImportedData</vt:lpstr>
      <vt:lpstr>ImportedTaskColumn</vt:lpstr>
      <vt:lpstr>LastRow</vt:lpstr>
      <vt:lpstr>Sheet1!Print_Area</vt:lpstr>
    </vt:vector>
  </TitlesOfParts>
  <Company>RSC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Deborah Addison</dc:creator>
  <cp:lastModifiedBy>Judi Cottier</cp:lastModifiedBy>
  <cp:lastPrinted>2008-09-23T03:56:13Z</cp:lastPrinted>
  <dcterms:created xsi:type="dcterms:W3CDTF">2003-12-15T04:03:43Z</dcterms:created>
  <dcterms:modified xsi:type="dcterms:W3CDTF">2026-06-22T01:34:35Z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hecked by">
    <vt:lpwstr>32123</vt:lpwstr>
  </property>
  <property fmtid="{D5CDD505-2E9C-101B-9397-08002B2CF9AE}" pid="3" name="Objective-Id">
    <vt:lpwstr>A13318240</vt:lpwstr>
  </property>
  <property fmtid="{D5CDD505-2E9C-101B-9397-08002B2CF9AE}" pid="4" name="Objective-Title">
    <vt:lpwstr>PDG-20842-1 Bill of Quantities</vt:lpwstr>
  </property>
  <property fmtid="{D5CDD505-2E9C-101B-9397-08002B2CF9AE}" pid="5" name="Objective-Description">
    <vt:lpwstr/>
  </property>
  <property fmtid="{D5CDD505-2E9C-101B-9397-08002B2CF9AE}" pid="6" name="Objective-CreationStamp">
    <vt:filetime>2026-06-04T03:28:44Z</vt:filetime>
  </property>
  <property fmtid="{D5CDD505-2E9C-101B-9397-08002B2CF9AE}" pid="7" name="Objective-IsApproved">
    <vt:bool>false</vt:bool>
  </property>
  <property fmtid="{D5CDD505-2E9C-101B-9397-08002B2CF9AE}" pid="8" name="Objective-IsPublished">
    <vt:bool>false</vt:bool>
  </property>
  <property fmtid="{D5CDD505-2E9C-101B-9397-08002B2CF9AE}" pid="9" name="Objective-DatePublished">
    <vt:lpwstr/>
  </property>
  <property fmtid="{D5CDD505-2E9C-101B-9397-08002B2CF9AE}" pid="10" name="Objective-ModificationStamp">
    <vt:filetime>2026-06-25T00:18:50Z</vt:filetime>
  </property>
  <property fmtid="{D5CDD505-2E9C-101B-9397-08002B2CF9AE}" pid="11" name="Objective-Owner">
    <vt:lpwstr>Kathy Rundle</vt:lpwstr>
  </property>
  <property fmtid="{D5CDD505-2E9C-101B-9397-08002B2CF9AE}" pid="12" name="Objective-Path">
    <vt:lpwstr>Objective Global Folder:RCC File Plan:Council Services:Project Delivery:Tenders &amp; Contracts Unit:PDG-20842-1 CIP Skate Bowl Refurbishment Windemere Road Park, Alexandra Hills:02. Tender Documents</vt:lpwstr>
  </property>
  <property fmtid="{D5CDD505-2E9C-101B-9397-08002B2CF9AE}" pid="13" name="Objective-Parent">
    <vt:lpwstr>02. Tender Documents</vt:lpwstr>
  </property>
  <property fmtid="{D5CDD505-2E9C-101B-9397-08002B2CF9AE}" pid="14" name="Objective-State">
    <vt:lpwstr>Being Drafted</vt:lpwstr>
  </property>
  <property fmtid="{D5CDD505-2E9C-101B-9397-08002B2CF9AE}" pid="15" name="Objective-VersionId">
    <vt:lpwstr>vA16893143</vt:lpwstr>
  </property>
  <property fmtid="{D5CDD505-2E9C-101B-9397-08002B2CF9AE}" pid="16" name="Objective-Version">
    <vt:lpwstr>1.9</vt:lpwstr>
  </property>
  <property fmtid="{D5CDD505-2E9C-101B-9397-08002B2CF9AE}" pid="17" name="Objective-VersionNumber">
    <vt:r8>10</vt:r8>
  </property>
  <property fmtid="{D5CDD505-2E9C-101B-9397-08002B2CF9AE}" pid="18" name="Objective-VersionComment">
    <vt:lpwstr/>
  </property>
  <property fmtid="{D5CDD505-2E9C-101B-9397-08002B2CF9AE}" pid="19" name="Objective-FileNumber">
    <vt:lpwstr>qA1842035</vt:lpwstr>
  </property>
  <property fmtid="{D5CDD505-2E9C-101B-9397-08002B2CF9AE}" pid="20" name="Objective-Classification">
    <vt:lpwstr>Official</vt:lpwstr>
  </property>
  <property fmtid="{D5CDD505-2E9C-101B-9397-08002B2CF9AE}" pid="21" name="Objective-Caveats">
    <vt:lpwstr/>
  </property>
  <property fmtid="{D5CDD505-2E9C-101B-9397-08002B2CF9AE}" pid="22" name="Objective-Record Type">
    <vt:lpwstr>Letter</vt:lpwstr>
  </property>
  <property fmtid="{D5CDD505-2E9C-101B-9397-08002B2CF9AE}" pid="23" name="Objective-Organisation Responsible">
    <vt:lpwstr>Redland City Council</vt:lpwstr>
  </property>
  <property fmtid="{D5CDD505-2E9C-101B-9397-08002B2CF9AE}" pid="24" name="Objective-Access Rights Scheme">
    <vt:lpwstr>May be Published</vt:lpwstr>
  </property>
  <property fmtid="{D5CDD505-2E9C-101B-9397-08002B2CF9AE}" pid="25" name="Objective-Date Digitised">
    <vt:lpwstr/>
  </property>
  <property fmtid="{D5CDD505-2E9C-101B-9397-08002B2CF9AE}" pid="26" name="Objective-Capture Device">
    <vt:lpwstr>Local Scanner</vt:lpwstr>
  </property>
  <property fmtid="{D5CDD505-2E9C-101B-9397-08002B2CF9AE}" pid="27" name="Objective-Actor">
    <vt:lpwstr/>
  </property>
  <property fmtid="{D5CDD505-2E9C-101B-9397-08002B2CF9AE}" pid="28" name="Objective-Event Types">
    <vt:lpwstr>Add</vt:lpwstr>
  </property>
  <property fmtid="{D5CDD505-2E9C-101B-9397-08002B2CF9AE}" pid="29" name="Objective-Relationship Type">
    <vt:lpwstr>Record to Record</vt:lpwstr>
  </property>
  <property fmtid="{D5CDD505-2E9C-101B-9397-08002B2CF9AE}" pid="30" name="Objective-Disposal Status">
    <vt:lpwstr>Temporary</vt:lpwstr>
  </property>
  <property fmtid="{D5CDD505-2E9C-101B-9397-08002B2CF9AE}" pid="31" name="Objective-Disposal Notification">
    <vt:lpwstr/>
  </property>
  <property fmtid="{D5CDD505-2E9C-101B-9397-08002B2CF9AE}" pid="32" name="Objective-Determination Date">
    <vt:lpwstr/>
  </property>
  <property fmtid="{D5CDD505-2E9C-101B-9397-08002B2CF9AE}" pid="33" name="Objective-Disposal Review Date">
    <vt:lpwstr/>
  </property>
  <property fmtid="{D5CDD505-2E9C-101B-9397-08002B2CF9AE}" pid="34" name="Objective-Record Category Type">
    <vt:lpwstr>Item</vt:lpwstr>
  </property>
  <property fmtid="{D5CDD505-2E9C-101B-9397-08002B2CF9AE}" pid="35" name="Objective-Medium">
    <vt:lpwstr>Network Server</vt:lpwstr>
  </property>
  <property fmtid="{D5CDD505-2E9C-101B-9397-08002B2CF9AE}" pid="36" name="Objective-Connect Creator">
    <vt:lpwstr/>
  </property>
  <property fmtid="{D5CDD505-2E9C-101B-9397-08002B2CF9AE}" pid="37" name="Objective-Application ID">
    <vt:lpwstr/>
  </property>
  <property fmtid="{D5CDD505-2E9C-101B-9397-08002B2CF9AE}" pid="38" name="Objective-Application Description">
    <vt:lpwstr/>
  </property>
  <property fmtid="{D5CDD505-2E9C-101B-9397-08002B2CF9AE}" pid="39" name="Objective-Customer ID">
    <vt:lpwstr/>
  </property>
  <property fmtid="{D5CDD505-2E9C-101B-9397-08002B2CF9AE}" pid="40" name="Objective-Customer Name">
    <vt:lpwstr/>
  </property>
  <property fmtid="{D5CDD505-2E9C-101B-9397-08002B2CF9AE}" pid="41" name="Objective-Property ID">
    <vt:lpwstr/>
  </property>
  <property fmtid="{D5CDD505-2E9C-101B-9397-08002B2CF9AE}" pid="42" name="Objective-Property Address">
    <vt:lpwstr/>
  </property>
  <property fmtid="{D5CDD505-2E9C-101B-9397-08002B2CF9AE}" pid="43" name="Objective-Land ID">
    <vt:lpwstr/>
  </property>
  <property fmtid="{D5CDD505-2E9C-101B-9397-08002B2CF9AE}" pid="44" name="Objective-Land Legal Description">
    <vt:lpwstr/>
  </property>
  <property fmtid="{D5CDD505-2E9C-101B-9397-08002B2CF9AE}" pid="45" name="Objective-Street ID">
    <vt:lpwstr/>
  </property>
  <property fmtid="{D5CDD505-2E9C-101B-9397-08002B2CF9AE}" pid="46" name="Objective-Street Name">
    <vt:lpwstr/>
  </property>
  <property fmtid="{D5CDD505-2E9C-101B-9397-08002B2CF9AE}" pid="47" name="Objective-Locality">
    <vt:lpwstr/>
  </property>
  <property fmtid="{D5CDD505-2E9C-101B-9397-08002B2CF9AE}" pid="48" name="Objective-Public URL Suffix">
    <vt:lpwstr/>
  </property>
  <property fmtid="{D5CDD505-2E9C-101B-9397-08002B2CF9AE}" pid="49" name="Objective-Public URL Suffix Updated">
    <vt:lpwstr/>
  </property>
  <property fmtid="{D5CDD505-2E9C-101B-9397-08002B2CF9AE}" pid="50" name="Objective-Comment">
    <vt:lpwstr/>
  </property>
  <property fmtid="{D5CDD505-2E9C-101B-9397-08002B2CF9AE}" pid="51" name="Objective-Development.i Record Type">
    <vt:lpwstr/>
  </property>
  <property fmtid="{D5CDD505-2E9C-101B-9397-08002B2CF9AE}" pid="52" name="Objective-Document Date">
    <vt:lpwstr/>
  </property>
  <property fmtid="{D5CDD505-2E9C-101B-9397-08002B2CF9AE}" pid="53" name="Objective-Date Received">
    <vt:lpwstr/>
  </property>
  <property fmtid="{D5CDD505-2E9C-101B-9397-08002B2CF9AE}" pid="54" name="Objective-Correspondence Received at">
    <vt:lpwstr/>
  </property>
  <property fmtid="{D5CDD505-2E9C-101B-9397-08002B2CF9AE}" pid="55" name="Objective-Name Number">
    <vt:r8>0</vt:r8>
  </property>
  <property fmtid="{D5CDD505-2E9C-101B-9397-08002B2CF9AE}" pid="56" name="Objective-Given Name">
    <vt:lpwstr/>
  </property>
  <property fmtid="{D5CDD505-2E9C-101B-9397-08002B2CF9AE}" pid="57" name="Objective-Surname">
    <vt:lpwstr/>
  </property>
  <property fmtid="{D5CDD505-2E9C-101B-9397-08002B2CF9AE}" pid="58" name="Objective-Business Name">
    <vt:lpwstr/>
  </property>
  <property fmtid="{D5CDD505-2E9C-101B-9397-08002B2CF9AE}" pid="59" name="Objective-Address Line 1">
    <vt:lpwstr/>
  </property>
  <property fmtid="{D5CDD505-2E9C-101B-9397-08002B2CF9AE}" pid="60" name="Objective-Address Line 2">
    <vt:lpwstr/>
  </property>
  <property fmtid="{D5CDD505-2E9C-101B-9397-08002B2CF9AE}" pid="61" name="Objective-Address Line 3">
    <vt:lpwstr/>
  </property>
</Properties>
</file>